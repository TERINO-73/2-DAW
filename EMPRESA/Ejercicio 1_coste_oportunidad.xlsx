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4"/>
    <sheet state="visible" name="Combinaciones de compra" sheetId="2" r:id="rId5"/>
    <sheet state="visible" name="Frontera Posibilidades de Compr" sheetId="3" r:id="rId6"/>
    <sheet state="visible" name="Auxiliar" sheetId="4" r:id="rId7"/>
  </sheets>
  <definedNames/>
  <calcPr/>
</workbook>
</file>

<file path=xl/sharedStrings.xml><?xml version="1.0" encoding="utf-8"?>
<sst xmlns="http://schemas.openxmlformats.org/spreadsheetml/2006/main" count="19" uniqueCount="18">
  <si>
    <r>
      <rPr>
        <rFont val="Arial"/>
        <color rgb="FF000000"/>
      </rPr>
      <t>Recursos Economicos de la familia</t>
    </r>
  </si>
  <si>
    <t>Recursos Economicos Familia</t>
  </si>
  <si>
    <t>Comprar</t>
  </si>
  <si>
    <t>Bien P</t>
  </si>
  <si>
    <t>€/U</t>
  </si>
  <si>
    <t>Bien H</t>
  </si>
  <si>
    <t>El coste de oportunidad de un bien o servicio es la cantidad de otros bienes o servicios a los que debe renunciarse para obtenerlo.</t>
  </si>
  <si>
    <t>----------</t>
  </si>
  <si>
    <t>---------------------</t>
  </si>
  <si>
    <t>-------------</t>
  </si>
  <si>
    <t>------------------------</t>
  </si>
  <si>
    <t xml:space="preserve">Coste De Oportunidad del </t>
  </si>
  <si>
    <t>La combinacion</t>
  </si>
  <si>
    <t>para</t>
  </si>
  <si>
    <t>de</t>
  </si>
  <si>
    <t>del</t>
  </si>
  <si>
    <t>y</t>
  </si>
  <si>
    <t>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</si>
</sst>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€&quot;"/>
  </numFmts>
  <fonts count="6">
    <font>
      <sz val="10.0"/>
      <color rgb="FF000000"/>
      <name val="Arial"/>
      <scheme val="minor"/>
    </font>
    <font>
      <color theme="1"/>
      <name val="Arial"/>
      <scheme val="minor"/>
    </font>
    <font/>
    <font>
      <color rgb="FF000000"/>
      <name val="Arial"/>
    </font>
    <font>
      <sz val="9.0"/>
      <color rgb="FF000000"/>
      <name val="&quot;Google Sans Mono&quot;"/>
    </font>
    <font>
      <sz val="11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1" fillId="0" fontId="1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readingOrder="0"/>
    </xf>
    <xf borderId="3" fillId="0" fontId="2" numFmtId="0" xfId="0" applyBorder="1" applyFont="1"/>
    <xf borderId="4" fillId="0" fontId="1" numFmtId="0" xfId="0" applyAlignment="1" applyBorder="1" applyFont="1">
      <alignment readingOrder="0"/>
    </xf>
    <xf borderId="4" fillId="3" fontId="3" numFmtId="0" xfId="0" applyAlignment="1" applyBorder="1" applyFill="1" applyFont="1">
      <alignment horizontal="left" readingOrder="0"/>
    </xf>
    <xf borderId="4" fillId="0" fontId="1" numFmtId="0" xfId="0" applyBorder="1" applyFont="1"/>
    <xf borderId="4" fillId="3" fontId="4" numFmtId="0" xfId="0" applyAlignment="1" applyBorder="1" applyFont="1">
      <alignment horizontal="left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11</xdr:row>
      <xdr:rowOff>114300</xdr:rowOff>
    </xdr:from>
    <xdr:ext cx="10925175" cy="2867025"/>
    <xdr:pic>
      <xdr:nvPicPr>
        <xdr:cNvPr id="1788648780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63"/>
    <col customWidth="1" min="3" max="3" width="9.88"/>
    <col customWidth="1" min="4" max="4" width="20.25"/>
    <col customWidth="1" min="5" max="5" width="23.25"/>
    <col customWidth="1" min="7" max="7" width="20.5"/>
    <col customWidth="1" min="8" max="8" width="21.75"/>
  </cols>
  <sheetData>
    <row r="2">
      <c r="E2" s="1"/>
    </row>
    <row r="3">
      <c r="B3" s="2"/>
      <c r="C3" s="3"/>
    </row>
    <row r="5">
      <c r="B5" s="1" t="s">
        <v>0</v>
      </c>
      <c r="C5" s="4">
        <v>100000.0</v>
      </c>
      <c r="E5" s="2" t="s">
        <v>1</v>
      </c>
      <c r="F5" s="4">
        <v>50000.0</v>
      </c>
    </row>
    <row r="6">
      <c r="B6" s="5" t="s">
        <v>2</v>
      </c>
      <c r="C6" s="6" t="s">
        <v>3</v>
      </c>
      <c r="D6" s="4">
        <v>100.0</v>
      </c>
      <c r="E6" s="2" t="s">
        <v>4</v>
      </c>
    </row>
    <row r="7">
      <c r="B7" s="7"/>
      <c r="C7" s="6" t="s">
        <v>5</v>
      </c>
      <c r="D7" s="4">
        <v>500.0</v>
      </c>
      <c r="E7" s="2" t="s">
        <v>4</v>
      </c>
    </row>
    <row r="13" ht="16.5" customHeight="1">
      <c r="B13" s="2" t="s">
        <v>6</v>
      </c>
    </row>
  </sheetData>
  <mergeCells count="1">
    <mergeCell ref="B6:B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38"/>
    <col customWidth="1" min="5" max="5" width="25.5"/>
    <col customWidth="1" min="8" max="8" width="35.25"/>
    <col customWidth="1" min="9" max="9" width="35.13"/>
  </cols>
  <sheetData>
    <row r="1">
      <c r="D1" s="2"/>
    </row>
    <row r="3">
      <c r="B3" s="8" t="str">
        <f>Datos!C6</f>
        <v>Bien P</v>
      </c>
      <c r="C3" s="8" t="str">
        <f>Datos!C7</f>
        <v>Bien H</v>
      </c>
      <c r="D3" s="9" t="str">
        <f>CONCATENATE(Auxiliar!E3,Datos!C6)</f>
        <v>Coste De Oportunidad del Bien P</v>
      </c>
      <c r="E3" s="9" t="str">
        <f>CONCATENATE("Coste De Oportunidad del ",Datos!C7)</f>
        <v>Coste De Oportunidad del Bien H</v>
      </c>
      <c r="F3" s="10" t="str">
        <f>Datos!C6</f>
        <v>Bien P</v>
      </c>
      <c r="G3" s="10" t="str">
        <f>Datos!C7</f>
        <v>Bien H</v>
      </c>
      <c r="H3" s="11" t="str">
        <f>CONCATENATE("Nuevo ",Auxiliar!E3,Datos!C6)</f>
        <v>Nuevo Coste De Oportunidad del Bien P</v>
      </c>
      <c r="I3" s="11" t="str">
        <f>CONCATENATE("Nuevo Coste De Oportunidad del ",Datos!C7)</f>
        <v>Nuevo Coste De Oportunidad del Bien H</v>
      </c>
    </row>
    <row r="4">
      <c r="B4" s="8">
        <v>0.0</v>
      </c>
      <c r="C4" s="8">
        <f>(Datos!$C$5-Datos!$D$6*B4)/Datos!$D$7</f>
        <v>200</v>
      </c>
      <c r="D4" s="8" t="s">
        <v>7</v>
      </c>
      <c r="E4" s="10">
        <f t="shared" ref="E4:E13" si="1">B5-B4</f>
        <v>100</v>
      </c>
      <c r="F4" s="8">
        <v>0.0</v>
      </c>
      <c r="G4" s="8">
        <f>(Datos!$C$5+Datos!$F$5-Datos!$D$6*F4)/Datos!$D$7</f>
        <v>300</v>
      </c>
      <c r="H4" s="8" t="s">
        <v>8</v>
      </c>
      <c r="I4" s="10">
        <f t="shared" ref="I4:I13" si="2">F5-F4</f>
        <v>150</v>
      </c>
    </row>
    <row r="5">
      <c r="B5" s="8">
        <f>Auxiliar!B5*$B$14</f>
        <v>100</v>
      </c>
      <c r="C5" s="8">
        <f>(Datos!$C$5-Datos!$D$6*B5)/Datos!$D$7</f>
        <v>180</v>
      </c>
      <c r="D5" s="10">
        <f t="shared" ref="D5:D14" si="3">C4-C5</f>
        <v>20</v>
      </c>
      <c r="E5" s="10">
        <f t="shared" si="1"/>
        <v>100</v>
      </c>
      <c r="F5" s="8">
        <f>Auxiliar!B5*$F$14</f>
        <v>150</v>
      </c>
      <c r="G5" s="8">
        <f>(Datos!$C$5+Datos!$F$5-Datos!$D$6*F5)/Datos!$D$7</f>
        <v>270</v>
      </c>
      <c r="H5" s="10">
        <f t="shared" ref="H5:H14" si="4">G4-G5</f>
        <v>30</v>
      </c>
      <c r="I5" s="10">
        <f t="shared" si="2"/>
        <v>150</v>
      </c>
    </row>
    <row r="6">
      <c r="B6" s="8">
        <f>Auxiliar!B6*$B$14</f>
        <v>200</v>
      </c>
      <c r="C6" s="8">
        <f>(Datos!$C$5-Datos!$D$6*B6)/Datos!$D$7</f>
        <v>160</v>
      </c>
      <c r="D6" s="10">
        <f t="shared" si="3"/>
        <v>20</v>
      </c>
      <c r="E6" s="10">
        <f t="shared" si="1"/>
        <v>100</v>
      </c>
      <c r="F6" s="8">
        <f>Auxiliar!B6*$F$14</f>
        <v>300</v>
      </c>
      <c r="G6" s="8">
        <f>(Datos!$C$5+Datos!$F$5-Datos!$D$6*F6)/Datos!$D$7</f>
        <v>240</v>
      </c>
      <c r="H6" s="10">
        <f t="shared" si="4"/>
        <v>30</v>
      </c>
      <c r="I6" s="10">
        <f t="shared" si="2"/>
        <v>150</v>
      </c>
    </row>
    <row r="7">
      <c r="B7" s="8">
        <f>Auxiliar!B7*$B$14</f>
        <v>300</v>
      </c>
      <c r="C7" s="8">
        <f>(Datos!$C$5-Datos!$D$6*B7)/Datos!$D$7</f>
        <v>140</v>
      </c>
      <c r="D7" s="10">
        <f t="shared" si="3"/>
        <v>20</v>
      </c>
      <c r="E7" s="10">
        <f t="shared" si="1"/>
        <v>100</v>
      </c>
      <c r="F7" s="8">
        <f>Auxiliar!B7*$F$14</f>
        <v>450</v>
      </c>
      <c r="G7" s="8">
        <f>(Datos!$C$5+Datos!$F$5-Datos!$D$6*F7)/Datos!$D$7</f>
        <v>210</v>
      </c>
      <c r="H7" s="10">
        <f t="shared" si="4"/>
        <v>30</v>
      </c>
      <c r="I7" s="10">
        <f t="shared" si="2"/>
        <v>150</v>
      </c>
    </row>
    <row r="8">
      <c r="B8" s="8">
        <f>Auxiliar!B8*$B$14</f>
        <v>400</v>
      </c>
      <c r="C8" s="8">
        <f>(Datos!$C$5-Datos!$D$6*B8)/Datos!$D$7</f>
        <v>120</v>
      </c>
      <c r="D8" s="10">
        <f t="shared" si="3"/>
        <v>20</v>
      </c>
      <c r="E8" s="10">
        <f t="shared" si="1"/>
        <v>100</v>
      </c>
      <c r="F8" s="8">
        <f>Auxiliar!B8*$F$14</f>
        <v>600</v>
      </c>
      <c r="G8" s="8">
        <f>(Datos!$C$5+Datos!$F$5-Datos!$D$6*F8)/Datos!$D$7</f>
        <v>180</v>
      </c>
      <c r="H8" s="10">
        <f t="shared" si="4"/>
        <v>30</v>
      </c>
      <c r="I8" s="10">
        <f t="shared" si="2"/>
        <v>150</v>
      </c>
    </row>
    <row r="9">
      <c r="B9" s="8">
        <f>Auxiliar!B9*$B$14</f>
        <v>500</v>
      </c>
      <c r="C9" s="8">
        <f>(Datos!$C$5-Datos!$D$6*B9)/Datos!$D$7</f>
        <v>100</v>
      </c>
      <c r="D9" s="10">
        <f t="shared" si="3"/>
        <v>20</v>
      </c>
      <c r="E9" s="10">
        <f t="shared" si="1"/>
        <v>100</v>
      </c>
      <c r="F9" s="8">
        <f>Auxiliar!B9*$F$14</f>
        <v>750</v>
      </c>
      <c r="G9" s="8">
        <f>(Datos!$C$5+Datos!$F$5-Datos!$D$6*F9)/Datos!$D$7</f>
        <v>150</v>
      </c>
      <c r="H9" s="10">
        <f t="shared" si="4"/>
        <v>30</v>
      </c>
      <c r="I9" s="10">
        <f t="shared" si="2"/>
        <v>150</v>
      </c>
    </row>
    <row r="10">
      <c r="B10" s="8">
        <f>Auxiliar!B10*$B$14</f>
        <v>600</v>
      </c>
      <c r="C10" s="8">
        <f>(Datos!$C$5-Datos!$D$6*B10)/Datos!$D$7</f>
        <v>80</v>
      </c>
      <c r="D10" s="10">
        <f t="shared" si="3"/>
        <v>20</v>
      </c>
      <c r="E10" s="10">
        <f t="shared" si="1"/>
        <v>100</v>
      </c>
      <c r="F10" s="8">
        <f>Auxiliar!B10*$F$14</f>
        <v>900</v>
      </c>
      <c r="G10" s="8">
        <f>(Datos!$C$5+Datos!$F$5-Datos!$D$6*F10)/Datos!$D$7</f>
        <v>120</v>
      </c>
      <c r="H10" s="10">
        <f t="shared" si="4"/>
        <v>30</v>
      </c>
      <c r="I10" s="10">
        <f t="shared" si="2"/>
        <v>150</v>
      </c>
    </row>
    <row r="11">
      <c r="B11" s="8">
        <f>Auxiliar!B11*$B$14</f>
        <v>700</v>
      </c>
      <c r="C11" s="8">
        <f>(Datos!$C$5-Datos!$D$6*B11)/Datos!$D$7</f>
        <v>60</v>
      </c>
      <c r="D11" s="10">
        <f t="shared" si="3"/>
        <v>20</v>
      </c>
      <c r="E11" s="10">
        <f t="shared" si="1"/>
        <v>100</v>
      </c>
      <c r="F11" s="8">
        <f>Auxiliar!B11*$F$14</f>
        <v>1050</v>
      </c>
      <c r="G11" s="8">
        <f>(Datos!$C$5+Datos!$F$5-Datos!$D$6*F11)/Datos!$D$7</f>
        <v>90</v>
      </c>
      <c r="H11" s="10">
        <f t="shared" si="4"/>
        <v>30</v>
      </c>
      <c r="I11" s="10">
        <f t="shared" si="2"/>
        <v>150</v>
      </c>
    </row>
    <row r="12">
      <c r="B12" s="8">
        <f>Auxiliar!B12*$B$14</f>
        <v>800</v>
      </c>
      <c r="C12" s="8">
        <f>(Datos!$C$5-Datos!$D$6*B12)/Datos!$D$7</f>
        <v>40</v>
      </c>
      <c r="D12" s="10">
        <f t="shared" si="3"/>
        <v>20</v>
      </c>
      <c r="E12" s="10">
        <f t="shared" si="1"/>
        <v>100</v>
      </c>
      <c r="F12" s="8">
        <f>Auxiliar!B12*$F$14</f>
        <v>1200</v>
      </c>
      <c r="G12" s="8">
        <f>(Datos!$C$5+Datos!$F$5-Datos!$D$6*F12)/Datos!$D$7</f>
        <v>60</v>
      </c>
      <c r="H12" s="10">
        <f t="shared" si="4"/>
        <v>30</v>
      </c>
      <c r="I12" s="10">
        <f t="shared" si="2"/>
        <v>150</v>
      </c>
    </row>
    <row r="13">
      <c r="B13" s="8">
        <f>Auxiliar!B13*$B$14</f>
        <v>900</v>
      </c>
      <c r="C13" s="8">
        <f>(Datos!$C$5-Datos!$D$6*B13)/Datos!$D$7</f>
        <v>20</v>
      </c>
      <c r="D13" s="10">
        <f t="shared" si="3"/>
        <v>20</v>
      </c>
      <c r="E13" s="10">
        <f t="shared" si="1"/>
        <v>100</v>
      </c>
      <c r="F13" s="8">
        <f>Auxiliar!B13*$F$14</f>
        <v>1350</v>
      </c>
      <c r="G13" s="8">
        <f>(Datos!$C$5+Datos!$F$5-Datos!$D$6*F13)/Datos!$D$7</f>
        <v>30</v>
      </c>
      <c r="H13" s="10">
        <f t="shared" si="4"/>
        <v>30</v>
      </c>
      <c r="I13" s="10">
        <f t="shared" si="2"/>
        <v>150</v>
      </c>
    </row>
    <row r="14">
      <c r="B14" s="8">
        <f>(Datos!$C$5-C14*Datos!$D$7)/Datos!$D$6</f>
        <v>1000</v>
      </c>
      <c r="C14" s="8">
        <v>0.0</v>
      </c>
      <c r="D14" s="10">
        <f t="shared" si="3"/>
        <v>20</v>
      </c>
      <c r="E14" s="8" t="s">
        <v>9</v>
      </c>
      <c r="F14" s="8">
        <f>(Datos!$C$5+Datos!$F$5-G14*Datos!$D$7)/Datos!$D$6</f>
        <v>1500</v>
      </c>
      <c r="G14" s="8">
        <v>0.0</v>
      </c>
      <c r="H14" s="10">
        <f t="shared" si="4"/>
        <v>30</v>
      </c>
      <c r="I14" s="8" t="s">
        <v>10</v>
      </c>
    </row>
    <row r="15">
      <c r="H15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E3" s="2" t="s">
        <v>11</v>
      </c>
    </row>
    <row r="4">
      <c r="B4" s="2">
        <v>8.881784197001249E-16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r="5">
      <c r="B5" s="2">
        <v>0.100000000000001</v>
      </c>
      <c r="J5" s="13" t="str">
        <f>'Combinaciones de compra'!E24*Datos!E6+'Combinaciones de compra'!F24*Datos!E7</f>
        <v>#VALUE!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6">
      <c r="B6" s="2">
        <v>0.200000000000001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</row>
    <row r="7">
      <c r="B7" s="2">
        <v>0.300000000000001</v>
      </c>
      <c r="J7" s="12"/>
      <c r="K7" s="12"/>
      <c r="L7" s="12" t="s">
        <v>12</v>
      </c>
      <c r="M7" s="12"/>
      <c r="N7" s="12" t="s">
        <v>13</v>
      </c>
      <c r="O7" s="12"/>
      <c r="P7" s="12"/>
      <c r="Q7" s="12"/>
      <c r="R7" s="12"/>
      <c r="S7" s="12"/>
      <c r="T7" s="12"/>
      <c r="U7" s="12"/>
      <c r="V7" s="12"/>
    </row>
    <row r="8">
      <c r="B8" s="2">
        <v>0.4</v>
      </c>
      <c r="J8" s="12"/>
      <c r="K8" s="12"/>
      <c r="L8" s="12" t="s">
        <v>14</v>
      </c>
      <c r="M8" s="12"/>
      <c r="N8" s="12"/>
      <c r="O8" s="12"/>
      <c r="P8" s="12"/>
      <c r="Q8" s="12"/>
      <c r="R8" s="12"/>
      <c r="S8" s="12"/>
      <c r="T8" s="12"/>
      <c r="U8" s="12"/>
      <c r="V8" s="12"/>
    </row>
    <row r="9">
      <c r="B9" s="2">
        <v>0.5</v>
      </c>
      <c r="J9" s="12"/>
      <c r="K9" s="12"/>
      <c r="L9" s="12" t="s">
        <v>15</v>
      </c>
      <c r="M9" s="12"/>
      <c r="N9" s="12"/>
      <c r="O9" s="12"/>
      <c r="P9" s="12"/>
      <c r="Q9" s="12"/>
      <c r="R9" s="12"/>
      <c r="S9" s="12"/>
      <c r="T9" s="12"/>
      <c r="U9" s="12"/>
      <c r="V9" s="12"/>
    </row>
    <row r="10">
      <c r="B10" s="2">
        <v>0.6</v>
      </c>
      <c r="J10" s="12"/>
      <c r="K10" s="12"/>
      <c r="L10" s="12" t="s">
        <v>16</v>
      </c>
      <c r="M10" s="12"/>
      <c r="N10" s="12"/>
      <c r="O10" s="12"/>
      <c r="P10" s="12"/>
      <c r="Q10" s="12"/>
      <c r="R10" s="12"/>
      <c r="S10" s="12"/>
      <c r="T10" s="12"/>
      <c r="U10" s="12"/>
      <c r="V10" s="12"/>
    </row>
    <row r="11">
      <c r="B11" s="2">
        <v>0.7</v>
      </c>
      <c r="J11" s="12"/>
      <c r="K11" s="12"/>
      <c r="L11" s="12" t="s">
        <v>17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</row>
    <row r="12">
      <c r="B12" s="2">
        <v>0.8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</row>
    <row r="13">
      <c r="B13" s="2">
        <v>0.9</v>
      </c>
      <c r="J13" s="12" t="str">
        <f>CONCATENATE(L7," ",L8," ",'Combinaciones de compra'!E24," ",L9," ",Datos!D6," ",L10," ",L8," ",'Combinaciones de compra'!F24," ",'Hoja auxiliar'!L9," ",Datos!D7," ",L11," ",'Combinaciones de compra'!G24," ",'Combinaciones de compra'!H24," ","y/e"," ",'Combinaciones de compra'!J24," ",N7," ",'Combinaciones de compra'!I24)</f>
        <v>#REF!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</row>
  </sheetData>
  <drawing r:id="rId1"/>
</worksheet>
</file>