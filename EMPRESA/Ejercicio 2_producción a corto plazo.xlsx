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os" sheetId="1" state="visible" r:id="rId3"/>
    <sheet name="Tabla de producción" sheetId="2" state="visible" r:id="rId4"/>
    <sheet name="Graficas" sheetId="3" state="visible" r:id="rId5"/>
    <sheet name="Auxili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C4" authorId="0">
      <text>
        <r>
          <rPr>
            <sz val="10"/>
            <rFont val="Arial"/>
            <family val="2"/>
          </rPr>
          <t xml:space="preserve">L= numero de trabajadores
</t>
        </r>
      </text>
    </comment>
    <comment ref="D4" authorId="0">
      <text>
        <r>
          <rPr>
            <sz val="10"/>
            <rFont val="Arial"/>
            <family val="2"/>
          </rPr>
          <t xml:space="preserve">q=numero de x que se hace con ese número de trabajadores</t>
        </r>
      </text>
    </comment>
    <comment ref="E4" authorId="0">
      <text>
        <r>
          <rPr>
            <sz val="10"/>
            <rFont val="Arial"/>
            <family val="2"/>
          </rPr>
          <t xml:space="preserve">PM=q/L</t>
        </r>
      </text>
    </comment>
    <comment ref="F4" authorId="0">
      <text>
        <r>
          <rPr>
            <sz val="10"/>
            <rFont val="Arial"/>
            <family val="2"/>
          </rPr>
          <t xml:space="preserve">PM=</t>
        </r>
        <r>
          <rPr>
            <sz val="10"/>
            <rFont val="Arial"/>
            <family val="2"/>
            <charset val="1"/>
          </rPr>
          <t xml:space="preserve">∆q/∆L</t>
        </r>
      </text>
    </comment>
    <comment ref="G4" authorId="0">
      <text>
        <r>
          <rPr>
            <sz val="10"/>
            <rFont val="Arial"/>
            <family val="2"/>
          </rPr>
          <t xml:space="preserve">Cfme=Cfijo/q</t>
        </r>
      </text>
    </comment>
    <comment ref="H4" authorId="0">
      <text>
        <r>
          <rPr>
            <sz val="10"/>
            <rFont val="Arial"/>
            <family val="2"/>
          </rPr>
          <t xml:space="preserve">Cvme=Cva/q</t>
        </r>
      </text>
    </comment>
    <comment ref="I4" authorId="0">
      <text>
        <r>
          <rPr>
            <sz val="10"/>
            <rFont val="Arial"/>
            <family val="2"/>
          </rPr>
          <t xml:space="preserve">Los costos fijos o costes fijos son aquellos costes que no son sensibles a pequeños cambios en los niveles de actividad de una empresa </t>
        </r>
      </text>
    </comment>
    <comment ref="J4" authorId="0">
      <text>
        <r>
          <rPr>
            <sz val="10"/>
            <rFont val="Arial"/>
            <family val="2"/>
          </rPr>
          <t xml:space="preserve"> La antítesis de los costes fijos son los costos variables. </t>
        </r>
      </text>
    </comment>
    <comment ref="K4" authorId="0">
      <text>
        <r>
          <rPr>
            <sz val="10"/>
            <rFont val="Arial"/>
            <family val="2"/>
          </rPr>
          <t xml:space="preserve">CT=CF+CV</t>
        </r>
      </text>
    </comment>
    <comment ref="L4" authorId="0">
      <text>
        <r>
          <rPr>
            <sz val="10"/>
            <rFont val="Arial"/>
            <family val="2"/>
          </rPr>
          <t xml:space="preserve">CTM=CT/q</t>
        </r>
      </text>
    </comment>
    <comment ref="M4" authorId="0">
      <text>
        <r>
          <rPr>
            <sz val="10"/>
            <rFont val="Arial"/>
            <family val="2"/>
          </rPr>
          <t xml:space="preserve">CTMa=∆CT/∆q</t>
        </r>
      </text>
    </comment>
    <comment ref="N4" authorId="0">
      <text>
        <r>
          <rPr>
            <sz val="10"/>
            <rFont val="Arial"/>
            <family val="2"/>
          </rPr>
          <t xml:space="preserve">Se denomina ingreso al incremento de los recursos económicos que presenta una </t>
        </r>
        <r>
          <rPr>
            <sz val="10"/>
            <color rgb="FF0000FF"/>
            <rFont val="Arial"/>
            <family val="2"/>
            <charset val="1"/>
          </rPr>
          <t xml:space="preserve">organización</t>
        </r>
        <r>
          <rPr>
            <sz val="10"/>
            <rFont val="Arial"/>
            <family val="2"/>
            <charset val="1"/>
          </rPr>
          <t xml:space="preserve">, una </t>
        </r>
        <r>
          <rPr>
            <sz val="10"/>
            <color rgb="FF0000FF"/>
            <rFont val="Arial"/>
            <family val="2"/>
            <charset val="1"/>
          </rPr>
          <t xml:space="preserve">persona</t>
        </r>
        <r>
          <rPr>
            <sz val="10"/>
            <rFont val="Arial"/>
            <family val="2"/>
            <charset val="1"/>
          </rPr>
          <t xml:space="preserve"> o un sistema contable, y que constituye un aumento del patrimonio neto de los mismos. </t>
        </r>
      </text>
    </comment>
    <comment ref="O4" authorId="0">
      <text>
        <r>
          <rPr>
            <sz val="10"/>
            <rFont val="Arial"/>
            <family val="2"/>
          </rPr>
          <t xml:space="preserve">El beneficio en economía es la cantidad monetaria resultante de la diferencia entre </t>
        </r>
        <r>
          <rPr>
            <sz val="10"/>
            <color rgb="FF0000FF"/>
            <rFont val="Arial"/>
            <family val="2"/>
            <charset val="1"/>
          </rPr>
          <t xml:space="preserve">ingresos</t>
        </r>
        <r>
          <rPr>
            <sz val="10"/>
            <rFont val="Arial"/>
            <family val="2"/>
            <charset val="1"/>
          </rPr>
          <t xml:space="preserve"> y costes de una inversión, negocio o cualquier otra actividad económica. </t>
        </r>
      </text>
    </comment>
  </commentList>
</comments>
</file>

<file path=xl/sharedStrings.xml><?xml version="1.0" encoding="utf-8"?>
<sst xmlns="http://schemas.openxmlformats.org/spreadsheetml/2006/main" count="29" uniqueCount="28">
  <si>
    <t xml:space="preserve">Productos</t>
  </si>
  <si>
    <t xml:space="preserve">vespas</t>
  </si>
  <si>
    <t xml:space="preserve">Producción corto plazo</t>
  </si>
  <si>
    <t xml:space="preserve">Capital(K)</t>
  </si>
  <si>
    <t xml:space="preserve">€</t>
  </si>
  <si>
    <t xml:space="preserve">€/L</t>
  </si>
  <si>
    <t xml:space="preserve">L</t>
  </si>
  <si>
    <t xml:space="preserve">ingreso</t>
  </si>
  <si>
    <t xml:space="preserve">beneficio</t>
  </si>
  <si>
    <t xml:space="preserve">Producto Medio</t>
  </si>
  <si>
    <t xml:space="preserve">Producto Marginal</t>
  </si>
  <si>
    <t xml:space="preserve">Cfme</t>
  </si>
  <si>
    <t xml:space="preserve">Cvme</t>
  </si>
  <si>
    <t xml:space="preserve">Coste Fijo</t>
  </si>
  <si>
    <t xml:space="preserve">Coste Variable</t>
  </si>
  <si>
    <t xml:space="preserve">Coste Total</t>
  </si>
  <si>
    <t xml:space="preserve">Coste Total Medio</t>
  </si>
  <si>
    <t xml:space="preserve">Coste Total Marginal</t>
  </si>
  <si>
    <t xml:space="preserve">Ingreso</t>
  </si>
  <si>
    <t xml:space="preserve">Beneficio</t>
  </si>
  <si>
    <t xml:space="preserve">---------------</t>
  </si>
  <si>
    <t xml:space="preserve">-------------------------</t>
  </si>
  <si>
    <t xml:space="preserve">Ley de los rendimientos decrecientes</t>
  </si>
  <si>
    <t xml:space="preserve">Máximo</t>
  </si>
  <si>
    <t xml:space="preserve"> </t>
  </si>
  <si>
    <t xml:space="preserve">Beneficio Maximo</t>
  </si>
  <si>
    <t xml:space="preserve">Ley de los redimientos decrecientes cuando hay </t>
  </si>
  <si>
    <t xml:space="preserve"> trabajadores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</si>
</sst>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0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9"/>
      <color rgb="FF000000"/>
      <name val="&quot;Google Sans Mono&quot;"/>
      <family val="0"/>
      <charset val="1"/>
    </font>
    <font>
      <sz val="10"/>
      <name val="Arial"/>
      <family val="2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604752970606629"/>
          <c:y val="0.0458083166555481"/>
          <c:w val="0.896122576610382"/>
          <c:h val="0.865577051367578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'Tabla de producción'!$I$4</c:f>
              <c:strCache>
                <c:ptCount val="1"/>
                <c:pt idx="0">
                  <c:v>Coste Fijo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'Tabla de producción'!$D$5:$D$15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80</c:v>
                </c:pt>
                <c:pt idx="5">
                  <c:v>95</c:v>
                </c:pt>
                <c:pt idx="6">
                  <c:v>108</c:v>
                </c:pt>
                <c:pt idx="7">
                  <c:v>112</c:v>
                </c:pt>
                <c:pt idx="8">
                  <c:v>112</c:v>
                </c:pt>
                <c:pt idx="9">
                  <c:v>108</c:v>
                </c:pt>
                <c:pt idx="10">
                  <c:v>100</c:v>
                </c:pt>
              </c:numCache>
            </c:numRef>
          </c:xVal>
          <c:yVal>
            <c:numRef>
              <c:f>'Tabla de producción'!$I$5:$I$15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'Tabla de producción'!$K$4</c:f>
              <c:strCache>
                <c:ptCount val="1"/>
                <c:pt idx="0">
                  <c:v>Coste Total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'Tabla de producción'!$D$5:$D$15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80</c:v>
                </c:pt>
                <c:pt idx="5">
                  <c:v>95</c:v>
                </c:pt>
                <c:pt idx="6">
                  <c:v>108</c:v>
                </c:pt>
                <c:pt idx="7">
                  <c:v>112</c:v>
                </c:pt>
                <c:pt idx="8">
                  <c:v>112</c:v>
                </c:pt>
                <c:pt idx="9">
                  <c:v>108</c:v>
                </c:pt>
                <c:pt idx="10">
                  <c:v>100</c:v>
                </c:pt>
              </c:numCache>
            </c:numRef>
          </c:xVal>
          <c:yVal>
            <c:numRef>
              <c:f>'Tabla de producción'!$K$5:$K$15</c:f>
              <c:numCache>
                <c:formatCode>General</c:formatCode>
                <c:ptCount val="11"/>
                <c:pt idx="0">
                  <c:v>100</c:v>
                </c:pt>
                <c:pt idx="1">
                  <c:v>362</c:v>
                </c:pt>
                <c:pt idx="2">
                  <c:v>874</c:v>
                </c:pt>
                <c:pt idx="3">
                  <c:v>1636</c:v>
                </c:pt>
                <c:pt idx="4">
                  <c:v>2148</c:v>
                </c:pt>
                <c:pt idx="5">
                  <c:v>2535</c:v>
                </c:pt>
                <c:pt idx="6">
                  <c:v>2872</c:v>
                </c:pt>
                <c:pt idx="7">
                  <c:v>2984</c:v>
                </c:pt>
                <c:pt idx="8">
                  <c:v>2996</c:v>
                </c:pt>
                <c:pt idx="9">
                  <c:v>2908</c:v>
                </c:pt>
                <c:pt idx="10">
                  <c:v>2720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'Tabla de producción'!$J$4</c:f>
              <c:strCache>
                <c:ptCount val="1"/>
                <c:pt idx="0">
                  <c:v>Coste Variable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'Tabla de producción'!$D$5:$D$15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80</c:v>
                </c:pt>
                <c:pt idx="5">
                  <c:v>95</c:v>
                </c:pt>
                <c:pt idx="6">
                  <c:v>108</c:v>
                </c:pt>
                <c:pt idx="7">
                  <c:v>112</c:v>
                </c:pt>
                <c:pt idx="8">
                  <c:v>112</c:v>
                </c:pt>
                <c:pt idx="9">
                  <c:v>108</c:v>
                </c:pt>
                <c:pt idx="10">
                  <c:v>100</c:v>
                </c:pt>
              </c:numCache>
            </c:numRef>
          </c:xVal>
          <c:yVal>
            <c:numRef>
              <c:f>'Tabla de producción'!$J$5:$J$15</c:f>
              <c:numCache>
                <c:formatCode>General</c:formatCode>
                <c:ptCount val="11"/>
                <c:pt idx="0">
                  <c:v>0</c:v>
                </c:pt>
                <c:pt idx="1">
                  <c:v>262</c:v>
                </c:pt>
                <c:pt idx="2">
                  <c:v>774</c:v>
                </c:pt>
                <c:pt idx="3">
                  <c:v>1536</c:v>
                </c:pt>
                <c:pt idx="4">
                  <c:v>2048</c:v>
                </c:pt>
                <c:pt idx="5">
                  <c:v>2435</c:v>
                </c:pt>
                <c:pt idx="6">
                  <c:v>2772</c:v>
                </c:pt>
                <c:pt idx="7">
                  <c:v>2884</c:v>
                </c:pt>
                <c:pt idx="8">
                  <c:v>2896</c:v>
                </c:pt>
                <c:pt idx="9">
                  <c:v>2808</c:v>
                </c:pt>
                <c:pt idx="10">
                  <c:v>2620</c:v>
                </c:pt>
              </c:numCache>
            </c:numRef>
          </c:yVal>
          <c:smooth val="1"/>
        </c:ser>
        <c:axId val="63355692"/>
        <c:axId val="75884541"/>
      </c:scatterChart>
      <c:valAx>
        <c:axId val="633556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5884541"/>
        <c:crosses val="autoZero"/>
        <c:crossBetween val="midCat"/>
      </c:valAx>
      <c:valAx>
        <c:axId val="758845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335569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'Tabla de producción'!$K$4</c:f>
              <c:strCache>
                <c:ptCount val="1"/>
                <c:pt idx="0">
                  <c:v>Coste Total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'Tabla de producción'!$D$5:$D$15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80</c:v>
                </c:pt>
                <c:pt idx="5">
                  <c:v>95</c:v>
                </c:pt>
                <c:pt idx="6">
                  <c:v>108</c:v>
                </c:pt>
                <c:pt idx="7">
                  <c:v>112</c:v>
                </c:pt>
                <c:pt idx="8">
                  <c:v>112</c:v>
                </c:pt>
                <c:pt idx="9">
                  <c:v>108</c:v>
                </c:pt>
                <c:pt idx="10">
                  <c:v>100</c:v>
                </c:pt>
              </c:numCache>
            </c:numRef>
          </c:xVal>
          <c:yVal>
            <c:numRef>
              <c:f>'Tabla de producción'!$K$5:$K$15</c:f>
              <c:numCache>
                <c:formatCode>General</c:formatCode>
                <c:ptCount val="11"/>
                <c:pt idx="0">
                  <c:v>100</c:v>
                </c:pt>
                <c:pt idx="1">
                  <c:v>362</c:v>
                </c:pt>
                <c:pt idx="2">
                  <c:v>874</c:v>
                </c:pt>
                <c:pt idx="3">
                  <c:v>1636</c:v>
                </c:pt>
                <c:pt idx="4">
                  <c:v>2148</c:v>
                </c:pt>
                <c:pt idx="5">
                  <c:v>2535</c:v>
                </c:pt>
                <c:pt idx="6">
                  <c:v>2872</c:v>
                </c:pt>
                <c:pt idx="7">
                  <c:v>2984</c:v>
                </c:pt>
                <c:pt idx="8">
                  <c:v>2996</c:v>
                </c:pt>
                <c:pt idx="9">
                  <c:v>2908</c:v>
                </c:pt>
                <c:pt idx="10">
                  <c:v>2720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Auxiliar!$B$29</c:f>
              <c:strCache>
                <c:ptCount val="1"/>
                <c:pt idx="0">
                  <c:v>Beneficio Maximo 1496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Auxiliar!$D$23:$D$24</c:f>
              <c:numCache>
                <c:formatCode>General</c:formatCode>
                <c:ptCount val="2"/>
                <c:pt idx="0">
                  <c:v>112</c:v>
                </c:pt>
                <c:pt idx="1">
                  <c:v>112</c:v>
                </c:pt>
              </c:numCache>
            </c:numRef>
          </c:xVal>
          <c:yVal>
            <c:numRef>
              <c:f>Auxiliar!$E$23:$E$24</c:f>
              <c:numCache>
                <c:formatCode>General</c:formatCode>
                <c:ptCount val="2"/>
                <c:pt idx="0">
                  <c:v>0</c:v>
                </c:pt>
                <c:pt idx="1">
                  <c:v>4480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ingreso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'Tabla de producción'!$D$5:$D$15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80</c:v>
                </c:pt>
                <c:pt idx="5">
                  <c:v>95</c:v>
                </c:pt>
                <c:pt idx="6">
                  <c:v>108</c:v>
                </c:pt>
                <c:pt idx="7">
                  <c:v>112</c:v>
                </c:pt>
                <c:pt idx="8">
                  <c:v>112</c:v>
                </c:pt>
                <c:pt idx="9">
                  <c:v>108</c:v>
                </c:pt>
                <c:pt idx="10">
                  <c:v>100</c:v>
                </c:pt>
              </c:numCache>
            </c:numRef>
          </c:xVal>
          <c:yVal>
            <c:numRef>
              <c:f>'Tabla de producción'!$N$5:$N$15</c:f>
              <c:numCache>
                <c:formatCode>General</c:formatCode>
                <c:ptCount val="11"/>
                <c:pt idx="0">
                  <c:v>0</c:v>
                </c:pt>
                <c:pt idx="1">
                  <c:v>400</c:v>
                </c:pt>
                <c:pt idx="2">
                  <c:v>1200</c:v>
                </c:pt>
                <c:pt idx="3">
                  <c:v>2400</c:v>
                </c:pt>
                <c:pt idx="4">
                  <c:v>3200</c:v>
                </c:pt>
                <c:pt idx="5">
                  <c:v>3800</c:v>
                </c:pt>
                <c:pt idx="6">
                  <c:v>4320</c:v>
                </c:pt>
                <c:pt idx="7">
                  <c:v>4480</c:v>
                </c:pt>
                <c:pt idx="8">
                  <c:v>4480</c:v>
                </c:pt>
                <c:pt idx="9">
                  <c:v>4320</c:v>
                </c:pt>
                <c:pt idx="10">
                  <c:v>4000</c:v>
                </c:pt>
              </c:numCache>
            </c:numRef>
          </c:yVal>
          <c:smooth val="1"/>
        </c:ser>
        <c:axId val="70013370"/>
        <c:axId val="67325196"/>
      </c:scatterChart>
      <c:valAx>
        <c:axId val="7001337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7325196"/>
        <c:crosses val="autoZero"/>
        <c:crossBetween val="midCat"/>
      </c:valAx>
      <c:valAx>
        <c:axId val="673251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001337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'Tabla de producción'!$E$4</c:f>
              <c:strCache>
                <c:ptCount val="1"/>
                <c:pt idx="0">
                  <c:v>Producto Medio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'Tabla de producción'!$C$5:$C$15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'Tabla de producción'!$E$5:$E$15</c:f>
              <c:numCache>
                <c:formatCode>General</c:formatCode>
                <c:ptCount val="11"/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16</c:v>
                </c:pt>
                <c:pt idx="8">
                  <c:v>14</c:v>
                </c:pt>
                <c:pt idx="9">
                  <c:v>12</c:v>
                </c:pt>
                <c:pt idx="10">
                  <c:v>10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'Tabla de producción'!$F$4</c:f>
              <c:strCache>
                <c:ptCount val="1"/>
                <c:pt idx="0">
                  <c:v>Producto Marginal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'Tabla de producción'!$C$5:$C$15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'Tabla de producción'!$F$5:$F$15</c:f>
              <c:numCache>
                <c:formatCode>General</c:formatCode>
                <c:ptCount val="11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20</c:v>
                </c:pt>
                <c:pt idx="5">
                  <c:v>15</c:v>
                </c:pt>
                <c:pt idx="6">
                  <c:v>13</c:v>
                </c:pt>
                <c:pt idx="7">
                  <c:v>4</c:v>
                </c:pt>
                <c:pt idx="8">
                  <c:v>0</c:v>
                </c:pt>
                <c:pt idx="9">
                  <c:v>-4</c:v>
                </c:pt>
                <c:pt idx="10">
                  <c:v>-8</c:v>
                </c:pt>
              </c:numCache>
            </c:numRef>
          </c:yVal>
          <c:smooth val="1"/>
        </c:ser>
        <c:axId val="44259349"/>
        <c:axId val="51548811"/>
      </c:scatterChart>
      <c:valAx>
        <c:axId val="4425934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1548811"/>
        <c:crosses val="autoZero"/>
        <c:crossBetween val="midCat"/>
      </c:valAx>
      <c:valAx>
        <c:axId val="515488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425934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614139267408426"/>
          <c:y val="0.0645143365192265"/>
          <c:w val="0.697524690586323"/>
          <c:h val="0.8647477217159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'Tabla de producción'!$D$4</c:f>
              <c:strCache>
                <c:ptCount val="1"/>
                <c:pt idx="0">
                  <c:v>q(vespas)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'Tabla de producción'!$C$5:$C$15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'Tabla de producción'!$D$5:$D$15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80</c:v>
                </c:pt>
                <c:pt idx="5">
                  <c:v>95</c:v>
                </c:pt>
                <c:pt idx="6">
                  <c:v>108</c:v>
                </c:pt>
                <c:pt idx="7">
                  <c:v>112</c:v>
                </c:pt>
                <c:pt idx="8">
                  <c:v>112</c:v>
                </c:pt>
                <c:pt idx="9">
                  <c:v>108</c:v>
                </c:pt>
                <c:pt idx="10">
                  <c:v>100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Auxiliar!$E$31</c:f>
              <c:strCache>
                <c:ptCount val="1"/>
                <c:pt idx="0">
                  <c:v>Ley de los redimientos decrecientes cuando hay 3 trabajadores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Auxiliar!$B$19:$B$20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xVal>
          <c:yVal>
            <c:numRef>
              <c:f>Auxiliar!$C$19:$C$20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smooth val="1"/>
        </c:ser>
        <c:axId val="84890844"/>
        <c:axId val="47625876"/>
      </c:scatterChart>
      <c:valAx>
        <c:axId val="848908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7625876"/>
        <c:crosses val="autoZero"/>
        <c:crossBetween val="midCat"/>
      </c:valAx>
      <c:valAx>
        <c:axId val="476258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489084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69979228162239"/>
          <c:y val="0.301427709632013"/>
          <c:w val="0.229966109106811"/>
          <c:h val="0.15181982706615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852120</xdr:colOff>
      <xdr:row>30</xdr:row>
      <xdr:rowOff>170280</xdr:rowOff>
    </xdr:from>
    <xdr:to>
      <xdr:col>6</xdr:col>
      <xdr:colOff>784800</xdr:colOff>
      <xdr:row>45</xdr:row>
      <xdr:rowOff>136440</xdr:rowOff>
    </xdr:to>
    <xdr:graphicFrame>
      <xdr:nvGraphicFramePr>
        <xdr:cNvPr id="0" name=""/>
        <xdr:cNvGraphicFramePr/>
      </xdr:nvGraphicFramePr>
      <xdr:xfrm>
        <a:off x="852120" y="6171120"/>
        <a:ext cx="5274360" cy="296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404280</xdr:colOff>
      <xdr:row>29</xdr:row>
      <xdr:rowOff>50040</xdr:rowOff>
    </xdr:from>
    <xdr:to>
      <xdr:col>18</xdr:col>
      <xdr:colOff>818640</xdr:colOff>
      <xdr:row>45</xdr:row>
      <xdr:rowOff>87120</xdr:rowOff>
    </xdr:to>
    <xdr:graphicFrame>
      <xdr:nvGraphicFramePr>
        <xdr:cNvPr id="1" name=""/>
        <xdr:cNvGraphicFramePr/>
      </xdr:nvGraphicFramePr>
      <xdr:xfrm>
        <a:off x="11087640" y="5850720"/>
        <a:ext cx="575604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36360</xdr:colOff>
      <xdr:row>0</xdr:row>
      <xdr:rowOff>36000</xdr:rowOff>
    </xdr:from>
    <xdr:to>
      <xdr:col>7</xdr:col>
      <xdr:colOff>453240</xdr:colOff>
      <xdr:row>16</xdr:row>
      <xdr:rowOff>74160</xdr:rowOff>
    </xdr:to>
    <xdr:graphicFrame>
      <xdr:nvGraphicFramePr>
        <xdr:cNvPr id="2" name=""/>
        <xdr:cNvGraphicFramePr/>
      </xdr:nvGraphicFramePr>
      <xdr:xfrm>
        <a:off x="926640" y="3600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698760</xdr:colOff>
      <xdr:row>2</xdr:row>
      <xdr:rowOff>80280</xdr:rowOff>
    </xdr:from>
    <xdr:to>
      <xdr:col>18</xdr:col>
      <xdr:colOff>258120</xdr:colOff>
      <xdr:row>24</xdr:row>
      <xdr:rowOff>180000</xdr:rowOff>
    </xdr:to>
    <xdr:graphicFrame>
      <xdr:nvGraphicFramePr>
        <xdr:cNvPr id="3" name=""/>
        <xdr:cNvGraphicFramePr/>
      </xdr:nvGraphicFramePr>
      <xdr:xfrm>
        <a:off x="8711280" y="480240"/>
        <a:ext cx="7571880" cy="450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N1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K13" activeCellId="0" sqref="K13"/>
    </sheetView>
  </sheetViews>
  <sheetFormatPr defaultColWidth="12.6328125" defaultRowHeight="15.75" zeroHeight="false" outlineLevelRow="0" outlineLevelCol="0"/>
  <sheetData>
    <row r="3" customFormat="false" ht="15.75" hidden="false" customHeight="false" outlineLevel="0" collapsed="false">
      <c r="A3" s="1" t="s">
        <v>0</v>
      </c>
      <c r="B3" s="1" t="s">
        <v>1</v>
      </c>
      <c r="C3" s="1" t="s">
        <v>2</v>
      </c>
      <c r="F3" s="1" t="s">
        <v>3</v>
      </c>
      <c r="G3" s="2" t="n">
        <v>100</v>
      </c>
      <c r="H3" s="1" t="s">
        <v>4</v>
      </c>
      <c r="I3" s="1" t="str">
        <f aca="false">B7</f>
        <v>L</v>
      </c>
      <c r="J3" s="2" t="n">
        <v>12</v>
      </c>
      <c r="K3" s="1" t="s">
        <v>5</v>
      </c>
      <c r="L3" s="1" t="str">
        <f aca="false">C7</f>
        <v>q(vespas)</v>
      </c>
      <c r="M3" s="2" t="n">
        <v>25</v>
      </c>
      <c r="N3" s="3" t="str">
        <f aca="false">CONCATENATE("€/",$C$7)</f>
        <v>€/q(vespas)</v>
      </c>
    </row>
    <row r="4" customFormat="false" ht="15.75" hidden="false" customHeight="true" outlineLevel="0" collapsed="false">
      <c r="M4" s="4" t="n">
        <v>40</v>
      </c>
      <c r="N4" s="3" t="str">
        <f aca="false">CONCATENATE("€/",$C$7)</f>
        <v>€/q(vespas)</v>
      </c>
    </row>
    <row r="7" customFormat="false" ht="15.75" hidden="false" customHeight="false" outlineLevel="0" collapsed="false">
      <c r="B7" s="5" t="s">
        <v>6</v>
      </c>
      <c r="C7" s="5" t="str">
        <f aca="false">CONCATENATE("q(",B3,")")</f>
        <v>q(vespas)</v>
      </c>
    </row>
    <row r="8" customFormat="false" ht="15.75" hidden="false" customHeight="false" outlineLevel="0" collapsed="false">
      <c r="B8" s="6" t="n">
        <v>0</v>
      </c>
      <c r="C8" s="6" t="n">
        <v>0</v>
      </c>
    </row>
    <row r="9" customFormat="false" ht="15.75" hidden="false" customHeight="false" outlineLevel="0" collapsed="false">
      <c r="B9" s="6" t="n">
        <v>1</v>
      </c>
      <c r="C9" s="6" t="n">
        <v>10</v>
      </c>
    </row>
    <row r="10" customFormat="false" ht="15.75" hidden="false" customHeight="false" outlineLevel="0" collapsed="false">
      <c r="B10" s="6" t="n">
        <v>2</v>
      </c>
      <c r="C10" s="6" t="n">
        <v>30</v>
      </c>
    </row>
    <row r="11" customFormat="false" ht="15.75" hidden="false" customHeight="false" outlineLevel="0" collapsed="false">
      <c r="B11" s="6" t="n">
        <v>3</v>
      </c>
      <c r="C11" s="6" t="n">
        <v>60</v>
      </c>
    </row>
    <row r="12" customFormat="false" ht="15.75" hidden="false" customHeight="false" outlineLevel="0" collapsed="false">
      <c r="B12" s="6" t="n">
        <v>4</v>
      </c>
      <c r="C12" s="6" t="n">
        <v>80</v>
      </c>
    </row>
    <row r="13" customFormat="false" ht="15.75" hidden="false" customHeight="false" outlineLevel="0" collapsed="false">
      <c r="B13" s="6" t="n">
        <v>5</v>
      </c>
      <c r="C13" s="6" t="n">
        <v>95</v>
      </c>
    </row>
    <row r="14" customFormat="false" ht="15.75" hidden="false" customHeight="false" outlineLevel="0" collapsed="false">
      <c r="B14" s="6" t="n">
        <v>6</v>
      </c>
      <c r="C14" s="6" t="n">
        <v>108</v>
      </c>
    </row>
    <row r="15" customFormat="false" ht="15.75" hidden="false" customHeight="false" outlineLevel="0" collapsed="false">
      <c r="B15" s="6" t="n">
        <v>7</v>
      </c>
      <c r="C15" s="6" t="n">
        <v>112</v>
      </c>
    </row>
    <row r="16" customFormat="false" ht="15.75" hidden="false" customHeight="false" outlineLevel="0" collapsed="false">
      <c r="B16" s="6" t="n">
        <v>8</v>
      </c>
      <c r="C16" s="6" t="n">
        <v>112</v>
      </c>
    </row>
    <row r="17" customFormat="false" ht="15.75" hidden="false" customHeight="false" outlineLevel="0" collapsed="false">
      <c r="B17" s="6" t="n">
        <v>9</v>
      </c>
      <c r="C17" s="6" t="n">
        <v>108</v>
      </c>
    </row>
    <row r="18" customFormat="false" ht="15.75" hidden="false" customHeight="false" outlineLevel="0" collapsed="false">
      <c r="B18" s="6" t="n">
        <v>10</v>
      </c>
      <c r="C18" s="6" t="n">
        <v>100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O2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22" activeCellId="0" sqref="D22"/>
    </sheetView>
  </sheetViews>
  <sheetFormatPr defaultColWidth="12.6328125" defaultRowHeight="15.75" zeroHeight="false" outlineLevelRow="0" outlineLevelCol="0"/>
  <cols>
    <col collapsed="false" customWidth="true" hidden="false" outlineLevel="0" max="5" min="5" style="7" width="15.71"/>
    <col collapsed="false" customWidth="true" hidden="false" outlineLevel="0" max="6" min="6" style="7" width="18.35"/>
    <col collapsed="false" customWidth="true" hidden="false" outlineLevel="0" max="8" min="8" style="7" width="13.67"/>
    <col collapsed="false" customWidth="true" hidden="false" outlineLevel="0" max="10" min="10" style="7" width="15.58"/>
    <col collapsed="false" customWidth="true" hidden="false" outlineLevel="0" max="12" min="12" style="7" width="17.85"/>
    <col collapsed="false" customWidth="true" hidden="false" outlineLevel="0" max="13" min="13" style="7" width="20.07"/>
  </cols>
  <sheetData>
    <row r="3" customFormat="false" ht="15.75" hidden="false" customHeight="true" outlineLevel="0" collapsed="false">
      <c r="N3" s="7" t="s">
        <v>7</v>
      </c>
      <c r="O3" s="7" t="s">
        <v>8</v>
      </c>
    </row>
    <row r="4" customFormat="false" ht="15.75" hidden="false" customHeight="false" outlineLevel="0" collapsed="false">
      <c r="C4" s="5" t="str">
        <f aca="false">Datos!B7</f>
        <v>L</v>
      </c>
      <c r="D4" s="5" t="str">
        <f aca="false">Datos!C7</f>
        <v>q(vespas)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</row>
    <row r="5" customFormat="false" ht="15.75" hidden="false" customHeight="false" outlineLevel="0" collapsed="false">
      <c r="C5" s="6" t="n">
        <f aca="false">Datos!B8</f>
        <v>0</v>
      </c>
      <c r="D5" s="6" t="n">
        <f aca="false">Datos!C8</f>
        <v>0</v>
      </c>
      <c r="E5" s="6" t="s">
        <v>20</v>
      </c>
      <c r="F5" s="6" t="s">
        <v>20</v>
      </c>
      <c r="G5" s="8" t="str">
        <f aca="false">IF(D5=0,"-------",I5/D5)</f>
        <v>-------</v>
      </c>
      <c r="H5" s="8" t="str">
        <f aca="false">IF(D5=0,"-------",J5/D5)</f>
        <v>-------</v>
      </c>
      <c r="I5" s="6" t="n">
        <f aca="false">Datos!$G$3</f>
        <v>100</v>
      </c>
      <c r="J5" s="6" t="n">
        <f aca="false">(C5*Datos!$J$3)+(D5*Datos!$M$3)</f>
        <v>0</v>
      </c>
      <c r="K5" s="6" t="n">
        <f aca="false">SUM(I5:J5)</f>
        <v>100</v>
      </c>
      <c r="L5" s="8" t="str">
        <f aca="false">IF(D5=0,"-------",K5/D5)</f>
        <v>-------</v>
      </c>
      <c r="M5" s="9" t="s">
        <v>21</v>
      </c>
      <c r="N5" s="10" t="n">
        <f aca="false">D5*Datos!$M$4</f>
        <v>0</v>
      </c>
      <c r="O5" s="10" t="n">
        <f aca="false">N5-K5</f>
        <v>-100</v>
      </c>
    </row>
    <row r="6" customFormat="false" ht="15.75" hidden="false" customHeight="false" outlineLevel="0" collapsed="false">
      <c r="C6" s="6" t="n">
        <f aca="false">Datos!B9</f>
        <v>1</v>
      </c>
      <c r="D6" s="6" t="n">
        <f aca="false">Datos!C9</f>
        <v>10</v>
      </c>
      <c r="E6" s="6" t="n">
        <f aca="false">D6/C6</f>
        <v>10</v>
      </c>
      <c r="F6" s="6" t="n">
        <f aca="false">(D6-D5)/(C6-C5)</f>
        <v>10</v>
      </c>
      <c r="G6" s="8" t="n">
        <f aca="false">IF(D6=0,"-------",I6/D6)</f>
        <v>10</v>
      </c>
      <c r="H6" s="8" t="n">
        <f aca="false">IF(D6=0,"-------",J6/D6)</f>
        <v>26.2</v>
      </c>
      <c r="I6" s="6" t="n">
        <f aca="false">Datos!$G$3</f>
        <v>100</v>
      </c>
      <c r="J6" s="6" t="n">
        <f aca="false">(C6*Datos!$J$3)+(D6*Datos!$M$3)</f>
        <v>262</v>
      </c>
      <c r="K6" s="6" t="n">
        <f aca="false">SUM(I6:J6)</f>
        <v>362</v>
      </c>
      <c r="L6" s="8" t="n">
        <f aca="false">IF(D6=0,"-------",K6/D6)</f>
        <v>36.2</v>
      </c>
      <c r="M6" s="11" t="n">
        <f aca="false">IF(D6-D5=0,"--------------------",(K6-K5)/(D6-D5))</f>
        <v>26.2</v>
      </c>
      <c r="N6" s="10" t="n">
        <f aca="false">D6*Datos!$M$4</f>
        <v>400</v>
      </c>
      <c r="O6" s="10" t="n">
        <f aca="false">N6-K6</f>
        <v>38</v>
      </c>
    </row>
    <row r="7" customFormat="false" ht="15.75" hidden="false" customHeight="false" outlineLevel="0" collapsed="false">
      <c r="C7" s="6" t="n">
        <f aca="false">Datos!B10</f>
        <v>2</v>
      </c>
      <c r="D7" s="6" t="n">
        <f aca="false">Datos!C10</f>
        <v>30</v>
      </c>
      <c r="E7" s="6" t="n">
        <f aca="false">D7/C7</f>
        <v>15</v>
      </c>
      <c r="F7" s="6" t="n">
        <f aca="false">(D7-D6)/(C7-C6)</f>
        <v>20</v>
      </c>
      <c r="G7" s="8" t="n">
        <f aca="false">IF(D7=0,"-------",I7/D7)</f>
        <v>3.33333333333333</v>
      </c>
      <c r="H7" s="8" t="n">
        <f aca="false">IF(D7=0,"-------",J7/D7)</f>
        <v>25.8</v>
      </c>
      <c r="I7" s="6" t="n">
        <f aca="false">Datos!$G$3</f>
        <v>100</v>
      </c>
      <c r="J7" s="6" t="n">
        <f aca="false">(C7*Datos!$J$3)+(D7*Datos!$M$3)</f>
        <v>774</v>
      </c>
      <c r="K7" s="6" t="n">
        <f aca="false">SUM(I7:J7)</f>
        <v>874</v>
      </c>
      <c r="L7" s="8" t="n">
        <f aca="false">IF(D7=0,"-------",K7/D7)</f>
        <v>29.1333333333333</v>
      </c>
      <c r="M7" s="11" t="n">
        <f aca="false">IF(D7-D6=0,"--------------------",(K7-K6)/(D7-D6))</f>
        <v>25.6</v>
      </c>
      <c r="N7" s="10" t="n">
        <f aca="false">D7*Datos!$M$4</f>
        <v>1200</v>
      </c>
      <c r="O7" s="10" t="n">
        <f aca="false">N7-K7</f>
        <v>326</v>
      </c>
    </row>
    <row r="8" customFormat="false" ht="15.75" hidden="false" customHeight="false" outlineLevel="0" collapsed="false">
      <c r="C8" s="6" t="n">
        <f aca="false">Datos!B11</f>
        <v>3</v>
      </c>
      <c r="D8" s="6" t="n">
        <f aca="false">Datos!C11</f>
        <v>60</v>
      </c>
      <c r="E8" s="6" t="n">
        <f aca="false">D8/C8</f>
        <v>20</v>
      </c>
      <c r="F8" s="6" t="n">
        <f aca="false">(D8-D7)/(C8-C7)</f>
        <v>30</v>
      </c>
      <c r="G8" s="8" t="n">
        <f aca="false">IF(D8=0,"-------",I8/D8)</f>
        <v>1.66666666666667</v>
      </c>
      <c r="H8" s="8" t="n">
        <f aca="false">IF(D8=0,"-------",J8/D8)</f>
        <v>25.6</v>
      </c>
      <c r="I8" s="6" t="n">
        <f aca="false">Datos!$G$3</f>
        <v>100</v>
      </c>
      <c r="J8" s="6" t="n">
        <f aca="false">(C8*Datos!$J$3)+(D8*Datos!$M$3)</f>
        <v>1536</v>
      </c>
      <c r="K8" s="6" t="n">
        <f aca="false">SUM(I8:J8)</f>
        <v>1636</v>
      </c>
      <c r="L8" s="8" t="n">
        <f aca="false">IF(D8=0,"-------",K8/D8)</f>
        <v>27.2666666666667</v>
      </c>
      <c r="M8" s="11" t="n">
        <f aca="false">IF(D8-D7=0,"--------------------",(K8-K7)/(D8-D7))</f>
        <v>25.4</v>
      </c>
      <c r="N8" s="10" t="n">
        <f aca="false">D8*Datos!$M$4</f>
        <v>2400</v>
      </c>
      <c r="O8" s="10" t="n">
        <f aca="false">N8-K8</f>
        <v>764</v>
      </c>
    </row>
    <row r="9" customFormat="false" ht="15.75" hidden="false" customHeight="false" outlineLevel="0" collapsed="false">
      <c r="C9" s="6" t="n">
        <f aca="false">Datos!B12</f>
        <v>4</v>
      </c>
      <c r="D9" s="6" t="n">
        <f aca="false">Datos!C12</f>
        <v>80</v>
      </c>
      <c r="E9" s="6" t="n">
        <f aca="false">D9/C9</f>
        <v>20</v>
      </c>
      <c r="F9" s="6" t="n">
        <f aca="false">(D9-D8)/(C9-C8)</f>
        <v>20</v>
      </c>
      <c r="G9" s="8" t="n">
        <f aca="false">IF(D9=0,"-------",I9/D9)</f>
        <v>1.25</v>
      </c>
      <c r="H9" s="8" t="n">
        <f aca="false">IF(D9=0,"-------",J9/D9)</f>
        <v>25.6</v>
      </c>
      <c r="I9" s="6" t="n">
        <f aca="false">Datos!$G$3</f>
        <v>100</v>
      </c>
      <c r="J9" s="6" t="n">
        <f aca="false">(C9*Datos!$J$3)+(D9*Datos!$M$3)</f>
        <v>2048</v>
      </c>
      <c r="K9" s="6" t="n">
        <f aca="false">SUM(I9:J9)</f>
        <v>2148</v>
      </c>
      <c r="L9" s="8" t="n">
        <f aca="false">IF(D9=0,"-------",K9/D9)</f>
        <v>26.85</v>
      </c>
      <c r="M9" s="11" t="n">
        <f aca="false">IF(D9-D8=0,"--------------------",(K9-K8)/(D9-D8))</f>
        <v>25.6</v>
      </c>
      <c r="N9" s="10" t="n">
        <f aca="false">D9*Datos!$M$4</f>
        <v>3200</v>
      </c>
      <c r="O9" s="10" t="n">
        <f aca="false">N9-K9</f>
        <v>1052</v>
      </c>
    </row>
    <row r="10" customFormat="false" ht="15.75" hidden="false" customHeight="false" outlineLevel="0" collapsed="false">
      <c r="C10" s="6" t="n">
        <f aca="false">Datos!B13</f>
        <v>5</v>
      </c>
      <c r="D10" s="6" t="n">
        <f aca="false">Datos!C13</f>
        <v>95</v>
      </c>
      <c r="E10" s="6" t="n">
        <f aca="false">D10/C10</f>
        <v>19</v>
      </c>
      <c r="F10" s="6" t="n">
        <f aca="false">(D10-D9)/(C10-C9)</f>
        <v>15</v>
      </c>
      <c r="G10" s="8" t="n">
        <f aca="false">IF(D10=0,"-------",I10/D10)</f>
        <v>1.05263157894737</v>
      </c>
      <c r="H10" s="8" t="n">
        <f aca="false">IF(D10=0,"-------",J10/D10)</f>
        <v>25.6315789473684</v>
      </c>
      <c r="I10" s="6" t="n">
        <f aca="false">Datos!$G$3</f>
        <v>100</v>
      </c>
      <c r="J10" s="6" t="n">
        <f aca="false">(C10*Datos!$J$3)+(D10*Datos!$M$3)</f>
        <v>2435</v>
      </c>
      <c r="K10" s="6" t="n">
        <f aca="false">SUM(I10:J10)</f>
        <v>2535</v>
      </c>
      <c r="L10" s="8" t="n">
        <f aca="false">IF(D10=0,"-------",K10/D10)</f>
        <v>26.6842105263158</v>
      </c>
      <c r="M10" s="11" t="n">
        <f aca="false">IF(D10-D9=0,"--------------------",(K10-K9)/(D10-D9))</f>
        <v>25.8</v>
      </c>
      <c r="N10" s="10" t="n">
        <f aca="false">D10*Datos!$M$4</f>
        <v>3800</v>
      </c>
      <c r="O10" s="10" t="n">
        <f aca="false">N10-K10</f>
        <v>1265</v>
      </c>
    </row>
    <row r="11" customFormat="false" ht="15.75" hidden="false" customHeight="false" outlineLevel="0" collapsed="false">
      <c r="C11" s="6" t="n">
        <f aca="false">Datos!B14</f>
        <v>6</v>
      </c>
      <c r="D11" s="6" t="n">
        <f aca="false">Datos!C14</f>
        <v>108</v>
      </c>
      <c r="E11" s="6" t="n">
        <f aca="false">D11/C11</f>
        <v>18</v>
      </c>
      <c r="F11" s="6" t="n">
        <f aca="false">(D11-D10)/(C11-C10)</f>
        <v>13</v>
      </c>
      <c r="G11" s="8" t="n">
        <f aca="false">IF(D11=0,"-------",I11/D11)</f>
        <v>0.925925925925926</v>
      </c>
      <c r="H11" s="8" t="n">
        <f aca="false">IF(D11=0,"-------",J11/D11)</f>
        <v>25.6666666666667</v>
      </c>
      <c r="I11" s="6" t="n">
        <f aca="false">Datos!$G$3</f>
        <v>100</v>
      </c>
      <c r="J11" s="6" t="n">
        <f aca="false">(C11*Datos!$J$3)+(D11*Datos!$M$3)</f>
        <v>2772</v>
      </c>
      <c r="K11" s="6" t="n">
        <f aca="false">SUM(I11:J11)</f>
        <v>2872</v>
      </c>
      <c r="L11" s="8" t="n">
        <f aca="false">IF(D11=0,"-------",K11/D11)</f>
        <v>26.5925925925926</v>
      </c>
      <c r="M11" s="11" t="n">
        <f aca="false">IF(D11-D10=0,"--------------------",(K11-K10)/(D11-D10))</f>
        <v>25.9230769230769</v>
      </c>
      <c r="N11" s="10" t="n">
        <f aca="false">D11*Datos!$M$4</f>
        <v>4320</v>
      </c>
      <c r="O11" s="10" t="n">
        <f aca="false">N11-K11</f>
        <v>1448</v>
      </c>
    </row>
    <row r="12" customFormat="false" ht="15.75" hidden="false" customHeight="false" outlineLevel="0" collapsed="false">
      <c r="C12" s="6" t="n">
        <f aca="false">Datos!B15</f>
        <v>7</v>
      </c>
      <c r="D12" s="6" t="n">
        <f aca="false">Datos!C15</f>
        <v>112</v>
      </c>
      <c r="E12" s="6" t="n">
        <f aca="false">D12/C12</f>
        <v>16</v>
      </c>
      <c r="F12" s="6" t="n">
        <f aca="false">(D12-D11)/(C12-C11)</f>
        <v>4</v>
      </c>
      <c r="G12" s="8" t="n">
        <f aca="false">IF(D12=0,"-------",I12/D12)</f>
        <v>0.892857142857143</v>
      </c>
      <c r="H12" s="8" t="n">
        <f aca="false">IF(D12=0,"-------",J12/D12)</f>
        <v>25.75</v>
      </c>
      <c r="I12" s="6" t="n">
        <f aca="false">Datos!$G$3</f>
        <v>100</v>
      </c>
      <c r="J12" s="6" t="n">
        <f aca="false">(C12*Datos!$J$3)+(D12*Datos!$M$3)</f>
        <v>2884</v>
      </c>
      <c r="K12" s="6" t="n">
        <f aca="false">SUM(I12:J12)</f>
        <v>2984</v>
      </c>
      <c r="L12" s="8" t="n">
        <f aca="false">IF(D12=0,"-------",K12/D12)</f>
        <v>26.6428571428571</v>
      </c>
      <c r="M12" s="11" t="n">
        <f aca="false">IF(D12-D11=0,"--------------------",(K12-K11)/(D12-D11))</f>
        <v>28</v>
      </c>
      <c r="N12" s="10" t="n">
        <f aca="false">D12*Datos!$M$4</f>
        <v>4480</v>
      </c>
      <c r="O12" s="10" t="n">
        <f aca="false">N12-K12</f>
        <v>1496</v>
      </c>
    </row>
    <row r="13" customFormat="false" ht="15.75" hidden="false" customHeight="false" outlineLevel="0" collapsed="false">
      <c r="C13" s="6" t="n">
        <f aca="false">Datos!B16</f>
        <v>8</v>
      </c>
      <c r="D13" s="6" t="n">
        <f aca="false">Datos!C16</f>
        <v>112</v>
      </c>
      <c r="E13" s="6" t="n">
        <f aca="false">D13/C13</f>
        <v>14</v>
      </c>
      <c r="F13" s="6" t="n">
        <f aca="false">(D13-D12)/(C13-C12)</f>
        <v>0</v>
      </c>
      <c r="G13" s="8" t="n">
        <f aca="false">IF(D13=0,"-------",I13/D13)</f>
        <v>0.892857142857143</v>
      </c>
      <c r="H13" s="8" t="n">
        <f aca="false">IF(D13=0,"-------",J13/D13)</f>
        <v>25.8571428571429</v>
      </c>
      <c r="I13" s="6" t="n">
        <f aca="false">Datos!$G$3</f>
        <v>100</v>
      </c>
      <c r="J13" s="6" t="n">
        <f aca="false">(C13*Datos!$J$3)+(D13*Datos!$M$3)</f>
        <v>2896</v>
      </c>
      <c r="K13" s="6" t="n">
        <f aca="false">SUM(I13:J13)</f>
        <v>2996</v>
      </c>
      <c r="L13" s="8" t="n">
        <f aca="false">IF(D13=0,"-------",K13/D13)</f>
        <v>26.75</v>
      </c>
      <c r="M13" s="11" t="str">
        <f aca="false">IF(D13-D12=0,"--------------------",(K13-K12)/(D13-D12))</f>
        <v>--------------------</v>
      </c>
      <c r="N13" s="10" t="n">
        <f aca="false">D13*Datos!$M$4</f>
        <v>4480</v>
      </c>
      <c r="O13" s="10" t="n">
        <f aca="false">N13-K13</f>
        <v>1484</v>
      </c>
    </row>
    <row r="14" customFormat="false" ht="15.75" hidden="false" customHeight="false" outlineLevel="0" collapsed="false">
      <c r="C14" s="6" t="n">
        <f aca="false">Datos!B17</f>
        <v>9</v>
      </c>
      <c r="D14" s="6" t="n">
        <f aca="false">Datos!C17</f>
        <v>108</v>
      </c>
      <c r="E14" s="6" t="n">
        <f aca="false">D14/C14</f>
        <v>12</v>
      </c>
      <c r="F14" s="6" t="n">
        <f aca="false">(D14-D13)/(C14-C13)</f>
        <v>-4</v>
      </c>
      <c r="G14" s="8" t="n">
        <f aca="false">IF(D14=0,"-------",I14/D14)</f>
        <v>0.925925925925926</v>
      </c>
      <c r="H14" s="8" t="n">
        <f aca="false">IF(D14=0,"-------",J14/D14)</f>
        <v>26</v>
      </c>
      <c r="I14" s="6" t="n">
        <f aca="false">Datos!$G$3</f>
        <v>100</v>
      </c>
      <c r="J14" s="6" t="n">
        <f aca="false">(C14*Datos!$J$3)+(D14*Datos!$M$3)</f>
        <v>2808</v>
      </c>
      <c r="K14" s="6" t="n">
        <f aca="false">SUM(I14:J14)</f>
        <v>2908</v>
      </c>
      <c r="L14" s="8" t="n">
        <f aca="false">IF(D14=0,"-------",K14/D14)</f>
        <v>26.9259259259259</v>
      </c>
      <c r="M14" s="11" t="n">
        <f aca="false">IF(D14-D13=0,"--------------------",(K14-K13)/(D14-D13))</f>
        <v>22</v>
      </c>
      <c r="N14" s="10" t="n">
        <f aca="false">D14*Datos!$M$4</f>
        <v>4320</v>
      </c>
      <c r="O14" s="10" t="n">
        <f aca="false">N14-K14</f>
        <v>1412</v>
      </c>
    </row>
    <row r="15" customFormat="false" ht="15.75" hidden="false" customHeight="false" outlineLevel="0" collapsed="false">
      <c r="C15" s="6" t="n">
        <f aca="false">Datos!B18</f>
        <v>10</v>
      </c>
      <c r="D15" s="6" t="n">
        <f aca="false">Datos!C18</f>
        <v>100</v>
      </c>
      <c r="E15" s="6" t="n">
        <f aca="false">D15/C15</f>
        <v>10</v>
      </c>
      <c r="F15" s="6" t="n">
        <f aca="false">(D15-D14)/(C15-C14)</f>
        <v>-8</v>
      </c>
      <c r="G15" s="8" t="n">
        <f aca="false">IF(D15=0,"-------",I15/D15)</f>
        <v>1</v>
      </c>
      <c r="H15" s="8" t="n">
        <f aca="false">IF(D15=0,"-------",J15/D15)</f>
        <v>26.2</v>
      </c>
      <c r="I15" s="6" t="n">
        <f aca="false">Datos!$G$3</f>
        <v>100</v>
      </c>
      <c r="J15" s="6" t="n">
        <f aca="false">(C15*Datos!$J$3)+(D15*Datos!$M$3)</f>
        <v>2620</v>
      </c>
      <c r="K15" s="6" t="n">
        <f aca="false">SUM(I15:J15)</f>
        <v>2720</v>
      </c>
      <c r="L15" s="8" t="n">
        <f aca="false">IF(D15=0,"-------",K15/D15)</f>
        <v>27.2</v>
      </c>
      <c r="M15" s="11" t="n">
        <f aca="false">IF(D15-D14=0,"--------------------",(K15-K14)/(D15-D14))</f>
        <v>23.5</v>
      </c>
      <c r="N15" s="10" t="n">
        <f aca="false">D15*Datos!$M$4</f>
        <v>4000</v>
      </c>
      <c r="O15" s="10" t="n">
        <f aca="false">N15-K15</f>
        <v>1280</v>
      </c>
    </row>
    <row r="16" customFormat="false" ht="15.75" hidden="false" customHeight="false" outlineLevel="0" collapsed="false">
      <c r="C16" s="12"/>
      <c r="D16" s="12"/>
      <c r="E16" s="12"/>
      <c r="F16" s="12"/>
      <c r="G16" s="12"/>
      <c r="H16" s="12"/>
      <c r="I16" s="12"/>
      <c r="J16" s="12"/>
    </row>
    <row r="17" customFormat="false" ht="15.75" hidden="false" customHeight="false" outlineLevel="0" collapsed="false">
      <c r="B17" s="13" t="s">
        <v>22</v>
      </c>
      <c r="C17" s="13"/>
      <c r="D17" s="13"/>
      <c r="E17" s="12"/>
      <c r="G17" s="6"/>
      <c r="H17" s="6" t="s">
        <v>23</v>
      </c>
      <c r="I17" s="6" t="str">
        <f aca="false">C4</f>
        <v>L</v>
      </c>
      <c r="J17" s="6" t="str">
        <f aca="false">D4</f>
        <v>q(vespas)</v>
      </c>
    </row>
    <row r="18" customFormat="false" ht="15.75" hidden="false" customHeight="false" outlineLevel="0" collapsed="false">
      <c r="C18" s="12"/>
      <c r="D18" s="12"/>
      <c r="E18" s="12"/>
      <c r="G18" s="6"/>
      <c r="H18" s="6" t="n">
        <f aca="false">MAX(F6:F15)</f>
        <v>30</v>
      </c>
      <c r="I18" s="6" t="n">
        <f aca="false">Auxiliar!C17</f>
        <v>3</v>
      </c>
      <c r="J18" s="6" t="n">
        <f aca="false">Auxiliar!D17</f>
        <v>60</v>
      </c>
      <c r="L18" s="7" t="s">
        <v>24</v>
      </c>
    </row>
    <row r="21" customFormat="false" ht="15.75" hidden="false" customHeight="true" outlineLevel="0" collapsed="false">
      <c r="H21" s="10" t="n">
        <f aca="false">MAX(O5:O15)</f>
        <v>1496</v>
      </c>
      <c r="I21" s="10" t="n">
        <f aca="false">VLOOKUP(H21,Auxiliar!A6:D15,3,0)</f>
        <v>7</v>
      </c>
      <c r="J21" s="10" t="n">
        <f aca="false">VLOOKUP(H21,Auxiliar!A6:D15,4,0)</f>
        <v>112</v>
      </c>
    </row>
  </sheetData>
  <mergeCells count="1">
    <mergeCell ref="B17:D1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B1" colorId="64" zoomScale="80" zoomScaleNormal="80" zoomScalePageLayoutView="100" workbookViewId="0">
      <selection pane="topLeft" activeCell="H24" activeCellId="0" sqref="H24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E3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30" activeCellId="0" sqref="E30"/>
    </sheetView>
  </sheetViews>
  <sheetFormatPr defaultColWidth="12.6328125" defaultRowHeight="15.75" zeroHeight="false" outlineLevelRow="0" outlineLevelCol="0"/>
  <cols>
    <col collapsed="false" customWidth="true" hidden="false" outlineLevel="0" max="2" min="1" style="7" width="17.11"/>
  </cols>
  <sheetData>
    <row r="5" customFormat="false" ht="15.75" hidden="false" customHeight="false" outlineLevel="0" collapsed="false">
      <c r="A5" s="10" t="str">
        <f aca="false">'Tabla de producción'!O4</f>
        <v>Beneficio</v>
      </c>
      <c r="B5" s="14" t="str">
        <f aca="false">'Tabla de producción'!F4</f>
        <v>Producto Marginal</v>
      </c>
      <c r="C5" s="14" t="str">
        <f aca="false">'Tabla de producción'!C4</f>
        <v>L</v>
      </c>
      <c r="D5" s="14" t="str">
        <f aca="false">'Tabla de producción'!D4</f>
        <v>q(vespas)</v>
      </c>
    </row>
    <row r="6" customFormat="false" ht="15.75" hidden="false" customHeight="false" outlineLevel="0" collapsed="false">
      <c r="A6" s="10" t="n">
        <f aca="false">'Tabla de producción'!O5</f>
        <v>-100</v>
      </c>
      <c r="B6" s="14" t="str">
        <f aca="false">'Tabla de producción'!F5</f>
        <v>---------------</v>
      </c>
      <c r="C6" s="14" t="n">
        <f aca="false">'Tabla de producción'!C5</f>
        <v>0</v>
      </c>
      <c r="D6" s="14" t="n">
        <f aca="false">'Tabla de producción'!D5</f>
        <v>0</v>
      </c>
    </row>
    <row r="7" customFormat="false" ht="15.75" hidden="false" customHeight="false" outlineLevel="0" collapsed="false">
      <c r="A7" s="10" t="n">
        <f aca="false">'Tabla de producción'!O6</f>
        <v>38</v>
      </c>
      <c r="B7" s="14" t="n">
        <f aca="false">'Tabla de producción'!F6</f>
        <v>10</v>
      </c>
      <c r="C7" s="14" t="n">
        <f aca="false">'Tabla de producción'!C6</f>
        <v>1</v>
      </c>
      <c r="D7" s="14" t="n">
        <f aca="false">'Tabla de producción'!D6</f>
        <v>10</v>
      </c>
    </row>
    <row r="8" customFormat="false" ht="15.75" hidden="false" customHeight="false" outlineLevel="0" collapsed="false">
      <c r="A8" s="10" t="n">
        <f aca="false">'Tabla de producción'!O7</f>
        <v>326</v>
      </c>
      <c r="B8" s="14" t="n">
        <f aca="false">'Tabla de producción'!F7</f>
        <v>20</v>
      </c>
      <c r="C8" s="14" t="n">
        <f aca="false">'Tabla de producción'!C7</f>
        <v>2</v>
      </c>
      <c r="D8" s="14" t="n">
        <f aca="false">'Tabla de producción'!D7</f>
        <v>30</v>
      </c>
    </row>
    <row r="9" customFormat="false" ht="15.75" hidden="false" customHeight="false" outlineLevel="0" collapsed="false">
      <c r="A9" s="10" t="n">
        <f aca="false">'Tabla de producción'!O8</f>
        <v>764</v>
      </c>
      <c r="B9" s="14" t="n">
        <f aca="false">'Tabla de producción'!F8</f>
        <v>30</v>
      </c>
      <c r="C9" s="14" t="n">
        <f aca="false">'Tabla de producción'!C8</f>
        <v>3</v>
      </c>
      <c r="D9" s="14" t="n">
        <f aca="false">'Tabla de producción'!D8</f>
        <v>60</v>
      </c>
    </row>
    <row r="10" customFormat="false" ht="15.75" hidden="false" customHeight="false" outlineLevel="0" collapsed="false">
      <c r="A10" s="10" t="n">
        <f aca="false">'Tabla de producción'!O9</f>
        <v>1052</v>
      </c>
      <c r="B10" s="14" t="n">
        <f aca="false">'Tabla de producción'!F9</f>
        <v>20</v>
      </c>
      <c r="C10" s="14" t="n">
        <f aca="false">'Tabla de producción'!C9</f>
        <v>4</v>
      </c>
      <c r="D10" s="14" t="n">
        <f aca="false">'Tabla de producción'!D9</f>
        <v>80</v>
      </c>
    </row>
    <row r="11" customFormat="false" ht="15.75" hidden="false" customHeight="false" outlineLevel="0" collapsed="false">
      <c r="A11" s="10" t="n">
        <f aca="false">'Tabla de producción'!O10</f>
        <v>1265</v>
      </c>
      <c r="B11" s="14" t="n">
        <f aca="false">'Tabla de producción'!F10</f>
        <v>15</v>
      </c>
      <c r="C11" s="14" t="n">
        <f aca="false">'Tabla de producción'!C10</f>
        <v>5</v>
      </c>
      <c r="D11" s="14" t="n">
        <f aca="false">'Tabla de producción'!D10</f>
        <v>95</v>
      </c>
    </row>
    <row r="12" customFormat="false" ht="15.75" hidden="false" customHeight="false" outlineLevel="0" collapsed="false">
      <c r="A12" s="10" t="n">
        <f aca="false">'Tabla de producción'!O11</f>
        <v>1448</v>
      </c>
      <c r="B12" s="14" t="n">
        <f aca="false">'Tabla de producción'!F11</f>
        <v>13</v>
      </c>
      <c r="C12" s="14" t="n">
        <f aca="false">'Tabla de producción'!C11</f>
        <v>6</v>
      </c>
      <c r="D12" s="14" t="n">
        <f aca="false">'Tabla de producción'!D11</f>
        <v>108</v>
      </c>
    </row>
    <row r="13" customFormat="false" ht="15.75" hidden="false" customHeight="false" outlineLevel="0" collapsed="false">
      <c r="A13" s="10" t="n">
        <f aca="false">'Tabla de producción'!O12</f>
        <v>1496</v>
      </c>
      <c r="B13" s="14" t="n">
        <f aca="false">'Tabla de producción'!F12</f>
        <v>4</v>
      </c>
      <c r="C13" s="14" t="n">
        <f aca="false">'Tabla de producción'!C12</f>
        <v>7</v>
      </c>
      <c r="D13" s="14" t="n">
        <f aca="false">'Tabla de producción'!D12</f>
        <v>112</v>
      </c>
    </row>
    <row r="14" customFormat="false" ht="15.75" hidden="false" customHeight="false" outlineLevel="0" collapsed="false">
      <c r="A14" s="10" t="n">
        <f aca="false">'Tabla de producción'!O13</f>
        <v>1484</v>
      </c>
      <c r="B14" s="14" t="n">
        <f aca="false">'Tabla de producción'!F13</f>
        <v>0</v>
      </c>
      <c r="C14" s="14" t="n">
        <f aca="false">'Tabla de producción'!C13</f>
        <v>8</v>
      </c>
      <c r="D14" s="14" t="n">
        <f aca="false">'Tabla de producción'!D13</f>
        <v>112</v>
      </c>
    </row>
    <row r="15" customFormat="false" ht="15.75" hidden="false" customHeight="false" outlineLevel="0" collapsed="false">
      <c r="A15" s="10" t="n">
        <f aca="false">'Tabla de producción'!O14</f>
        <v>1412</v>
      </c>
      <c r="B15" s="14" t="n">
        <f aca="false">'Tabla de producción'!F14</f>
        <v>-4</v>
      </c>
      <c r="C15" s="14" t="n">
        <f aca="false">'Tabla de producción'!C14</f>
        <v>9</v>
      </c>
      <c r="D15" s="14" t="n">
        <f aca="false">'Tabla de producción'!D14</f>
        <v>108</v>
      </c>
    </row>
    <row r="17" customFormat="false" ht="15.75" hidden="false" customHeight="false" outlineLevel="0" collapsed="false">
      <c r="B17" s="1" t="n">
        <f aca="false">'Tabla de producción'!H18</f>
        <v>30</v>
      </c>
      <c r="C17" s="1" t="n">
        <f aca="false">VLOOKUP(B17,$B$5:$D$15,2,)</f>
        <v>3</v>
      </c>
      <c r="D17" s="1" t="n">
        <f aca="false">VLOOKUP(C17, $C$5:$D$15, 2, FALSE())</f>
        <v>60</v>
      </c>
    </row>
    <row r="19" customFormat="false" ht="15.75" hidden="false" customHeight="false" outlineLevel="0" collapsed="false">
      <c r="B19" s="7" t="n">
        <f aca="false">'Tabla de producción'!$I$18</f>
        <v>3</v>
      </c>
      <c r="C19" s="7" t="n">
        <v>0</v>
      </c>
    </row>
    <row r="20" customFormat="false" ht="15.75" hidden="false" customHeight="false" outlineLevel="0" collapsed="false">
      <c r="B20" s="7" t="n">
        <f aca="false">'Tabla de producción'!$I$18</f>
        <v>3</v>
      </c>
      <c r="C20" s="7" t="n">
        <f aca="false">MAX(D6:D15)</f>
        <v>112</v>
      </c>
    </row>
    <row r="23" customFormat="false" ht="15.75" hidden="false" customHeight="false" outlineLevel="0" collapsed="false">
      <c r="D23" s="7" t="n">
        <f aca="false">'Tabla de producción'!$J$21</f>
        <v>112</v>
      </c>
      <c r="E23" s="7" t="n">
        <v>0</v>
      </c>
    </row>
    <row r="24" customFormat="false" ht="15.75" hidden="false" customHeight="false" outlineLevel="0" collapsed="false">
      <c r="D24" s="7" t="n">
        <f aca="false">'Tabla de producción'!$J$21</f>
        <v>112</v>
      </c>
      <c r="E24" s="7" t="n">
        <f aca="false">MAX('Tabla de producción'!N5:N15)</f>
        <v>4480</v>
      </c>
    </row>
    <row r="26" customFormat="false" ht="15.75" hidden="false" customHeight="false" outlineLevel="0" collapsed="false">
      <c r="B26" s="7" t="s">
        <v>25</v>
      </c>
      <c r="C26" s="0" t="n">
        <f aca="false">MAX('Tabla de producción'!O5:O15)</f>
        <v>1496</v>
      </c>
    </row>
    <row r="28" customFormat="false" ht="15.75" hidden="false" customHeight="false" outlineLevel="0" collapsed="false">
      <c r="E28" s="0" t="s">
        <v>26</v>
      </c>
    </row>
    <row r="29" customFormat="false" ht="15.75" hidden="false" customHeight="false" outlineLevel="0" collapsed="false">
      <c r="B29" s="7" t="str">
        <f aca="false">CONCATENATE(B26," ",C26)</f>
        <v>Beneficio Maximo 1496</v>
      </c>
      <c r="E29" s="0" t="s">
        <v>27</v>
      </c>
    </row>
    <row r="31" customFormat="false" ht="15.75" hidden="false" customHeight="false" outlineLevel="0" collapsed="false">
      <c r="E31" s="0" t="str">
        <f aca="false">CONCATENATE(E28,B19,E29)</f>
        <v>Ley de los redimientos decrecientes cuando hay 3 trabajadores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LibreOffice/24.8.3.1$Windows_X86_64 LibreOffice_project/65412f067af443213e726c93f137ccc85c9a1e06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2024-11-27T13:01:33Z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