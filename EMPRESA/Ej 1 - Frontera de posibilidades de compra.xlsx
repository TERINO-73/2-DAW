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worksheets/_rels/sheet3.xml.rels" ContentType="application/vnd.openxmlformats-package.relationships+xml"/>
  <Override PartName="/xl/charts/chart1.xml" ContentType="application/vnd.openxmlformats-officedocument.drawingml.char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tos" sheetId="1" state="visible" r:id="rId3"/>
    <sheet name="Combinaciones de compra" sheetId="2" state="visible" r:id="rId4"/>
    <sheet name="Frontera Posibilidades Compra" sheetId="3" state="visible" r:id="rId5"/>
    <sheet name="Hoja auxilia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Autoría desconocida</author>
  </authors>
  <commentList>
    <comment ref="J6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la eficiencia es...</t>
        </r>
      </text>
    </comment>
  </commentList>
</comments>
</file>

<file path=xl/sharedStrings.xml><?xml version="1.0" encoding="utf-8"?>
<sst xmlns="http://schemas.openxmlformats.org/spreadsheetml/2006/main" count="35" uniqueCount="29">
  <si>
    <t xml:space="preserve">Recursos Económicos Familia</t>
  </si>
  <si>
    <t xml:space="preserve">€</t>
  </si>
  <si>
    <t xml:space="preserve">Recursos Ecónomicos de Familia</t>
  </si>
  <si>
    <t xml:space="preserve">Recuros Totales</t>
  </si>
  <si>
    <t xml:space="preserve">Comprar</t>
  </si>
  <si>
    <t xml:space="preserve">Bien P</t>
  </si>
  <si>
    <t xml:space="preserve">€/Unidad</t>
  </si>
  <si>
    <t xml:space="preserve">Eficiencia</t>
  </si>
  <si>
    <t xml:space="preserve">Bien H</t>
  </si>
  <si>
    <t xml:space="preserve">Coste de oportunidad</t>
  </si>
  <si>
    <t xml:space="preserve">El coste de oportunidad de producir, fabricar, obtener, comprar, etc. un bien, se
define como como a la cantidad que tenemos que renunciar de producir, fabricar,
obtener, comprar, etc. de otro bien.</t>
  </si>
  <si>
    <t xml:space="preserve">------------</t>
  </si>
  <si>
    <t xml:space="preserve">--------------</t>
  </si>
  <si>
    <t xml:space="preserve">----------</t>
  </si>
  <si>
    <t xml:space="preserve">Comprobante</t>
  </si>
  <si>
    <t xml:space="preserve">FP Vieja</t>
  </si>
  <si>
    <t xml:space="preserve">FP Nueva</t>
  </si>
  <si>
    <t xml:space="preserve">Imposible</t>
  </si>
  <si>
    <t xml:space="preserve">Posible y Eficiente</t>
  </si>
  <si>
    <t xml:space="preserve">Posible e Ineficiente</t>
  </si>
  <si>
    <t xml:space="preserve">Cosde de oportunidad del </t>
  </si>
  <si>
    <t xml:space="preserve">Nuevo Coste Oportunidad </t>
  </si>
  <si>
    <t xml:space="preserve">FP Compra</t>
  </si>
  <si>
    <t xml:space="preserve">La combinacion</t>
  </si>
  <si>
    <t xml:space="preserve">para</t>
  </si>
  <si>
    <t xml:space="preserve">de</t>
  </si>
  <si>
    <t xml:space="preserve">del</t>
  </si>
  <si>
    <t xml:space="preserve">y</t>
  </si>
  <si>
    <t xml:space="preserve">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</si>
</sst>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2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Aptos Narrow"/>
      <family val="0"/>
      <charset val="1"/>
    </font>
    <font>
      <sz val="10"/>
      <name val="Arial"/>
      <family val="2"/>
    </font>
    <font>
      <sz val="11"/>
      <color rgb="FF000000"/>
      <name val="Aptos Narrow"/>
      <family val="2"/>
      <charset val="1"/>
    </font>
    <font>
      <sz val="11"/>
      <color rgb="FFFF0000"/>
      <name val="Aptos Narrow"/>
      <family val="2"/>
      <charset val="1"/>
    </font>
    <font>
      <i val="true"/>
      <sz val="11"/>
      <color theme="1"/>
      <name val="Aptos Narrow"/>
      <family val="2"/>
      <charset val="1"/>
    </font>
    <font>
      <sz val="11"/>
      <color theme="1"/>
      <name val="Aptos Narrow"/>
      <family val="2"/>
    </font>
    <font>
      <sz val="9"/>
      <color rgb="FF92D050"/>
      <name val="Aptos Narrow"/>
      <family val="2"/>
    </font>
    <font>
      <sz val="9"/>
      <color rgb="FF595959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9" tint="0.7999"/>
        <bgColor rgb="FFD9D9D9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145F82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D9F2D0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D320"/>
      <rgbColor rgb="FFFF9900"/>
      <rgbColor rgb="FFFF420E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"FP de Compra"</c:f>
              <c:strCache>
                <c:ptCount val="1"/>
                <c:pt idx="0">
                  <c:v>FP de Compra</c:v>
                </c:pt>
              </c:strCache>
            </c:strRef>
          </c:tx>
          <c:spPr>
            <a:solidFill>
              <a:srgbClr val="145f82"/>
            </a:solidFill>
            <a:ln cap="rnd" w="19080">
              <a:solidFill>
                <a:srgbClr val="145f82"/>
              </a:solidFill>
              <a:round/>
            </a:ln>
          </c:spPr>
          <c:marker>
            <c:symbol val="circle"/>
            <c:size val="5"/>
            <c:spPr>
              <a:solidFill>
                <a:srgbClr val="145f8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'Combinaciones de compra'!$B$6:$B$21</c:f>
              <c:numCache>
                <c:formatCode>General</c:formatCode>
                <c:ptCount val="16"/>
                <c:pt idx="0">
                  <c:v>0</c:v>
                </c:pt>
                <c:pt idx="1">
                  <c:v>200</c:v>
                </c:pt>
                <c:pt idx="2">
                  <c:v>250</c:v>
                </c:pt>
                <c:pt idx="3">
                  <c:v>300</c:v>
                </c:pt>
                <c:pt idx="4">
                  <c:v>350</c:v>
                </c:pt>
                <c:pt idx="5">
                  <c:v>400</c:v>
                </c:pt>
                <c:pt idx="6">
                  <c:v>450</c:v>
                </c:pt>
                <c:pt idx="7">
                  <c:v>500</c:v>
                </c:pt>
                <c:pt idx="8">
                  <c:v>550</c:v>
                </c:pt>
                <c:pt idx="9">
                  <c:v>600</c:v>
                </c:pt>
                <c:pt idx="10">
                  <c:v>650</c:v>
                </c:pt>
                <c:pt idx="11">
                  <c:v>700</c:v>
                </c:pt>
                <c:pt idx="12">
                  <c:v>750</c:v>
                </c:pt>
                <c:pt idx="13">
                  <c:v>800</c:v>
                </c:pt>
                <c:pt idx="14">
                  <c:v>850</c:v>
                </c:pt>
                <c:pt idx="15">
                  <c:v>1000</c:v>
                </c:pt>
              </c:numCache>
            </c:numRef>
          </c:xVal>
          <c:yVal>
            <c:numRef>
              <c:f>'Combinaciones de compra'!$C$6:$C$21</c:f>
              <c:numCache>
                <c:formatCode>General</c:formatCode>
                <c:ptCount val="16"/>
                <c:pt idx="0">
                  <c:v>200</c:v>
                </c:pt>
                <c:pt idx="1">
                  <c:v>160</c:v>
                </c:pt>
                <c:pt idx="2">
                  <c:v>150</c:v>
                </c:pt>
                <c:pt idx="3">
                  <c:v>140</c:v>
                </c:pt>
                <c:pt idx="4">
                  <c:v>130</c:v>
                </c:pt>
                <c:pt idx="5">
                  <c:v>120</c:v>
                </c:pt>
                <c:pt idx="6">
                  <c:v>110</c:v>
                </c:pt>
                <c:pt idx="7">
                  <c:v>100</c:v>
                </c:pt>
                <c:pt idx="8">
                  <c:v>90</c:v>
                </c:pt>
                <c:pt idx="9">
                  <c:v>80</c:v>
                </c:pt>
                <c:pt idx="10">
                  <c:v>70</c:v>
                </c:pt>
                <c:pt idx="11">
                  <c:v>60</c:v>
                </c:pt>
                <c:pt idx="12">
                  <c:v>50</c:v>
                </c:pt>
                <c:pt idx="13">
                  <c:v>40</c:v>
                </c:pt>
                <c:pt idx="14">
                  <c:v>30</c:v>
                </c:pt>
                <c:pt idx="15">
                  <c:v>0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'Hoja auxiliar'!$J$13</c:f>
              <c:strCache>
                <c:ptCount val="1"/>
                <c:pt idx="0">
                  <c:v>La combinacion de 200 del Bien P y de 160 del Bien H es Posible y Eficiente FP Vieja y/e Posible e Ineficiente para FP Nueva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'Combinaciones de compra'!$E$24</c:f>
              <c:numCache>
                <c:formatCode>General</c:formatCode>
                <c:ptCount val="1"/>
                <c:pt idx="0">
                  <c:v>200</c:v>
                </c:pt>
              </c:numCache>
            </c:numRef>
          </c:xVal>
          <c:yVal>
            <c:numRef>
              <c:f>'Combinaciones de compra'!$F$24</c:f>
              <c:numCache>
                <c:formatCode>General</c:formatCode>
                <c:ptCount val="1"/>
                <c:pt idx="0">
                  <c:v>160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fp_compra_nueva</c:f>
              <c:strCache>
                <c:ptCount val="1"/>
                <c:pt idx="0">
                  <c:v>fp_compra_nueva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'Combinaciones de compra'!$F$6:$F$21</c:f>
              <c:numCache>
                <c:formatCode>General</c:formatCode>
                <c:ptCount val="16"/>
                <c:pt idx="0">
                  <c:v>0</c:v>
                </c:pt>
                <c:pt idx="1">
                  <c:v>375</c:v>
                </c:pt>
                <c:pt idx="2">
                  <c:v>450</c:v>
                </c:pt>
                <c:pt idx="3">
                  <c:v>525</c:v>
                </c:pt>
                <c:pt idx="4">
                  <c:v>600</c:v>
                </c:pt>
                <c:pt idx="5">
                  <c:v>675</c:v>
                </c:pt>
                <c:pt idx="6">
                  <c:v>750</c:v>
                </c:pt>
                <c:pt idx="7">
                  <c:v>825</c:v>
                </c:pt>
                <c:pt idx="8">
                  <c:v>900</c:v>
                </c:pt>
                <c:pt idx="9">
                  <c:v>975</c:v>
                </c:pt>
                <c:pt idx="10">
                  <c:v>1050</c:v>
                </c:pt>
                <c:pt idx="11">
                  <c:v>1125</c:v>
                </c:pt>
                <c:pt idx="12">
                  <c:v>1200</c:v>
                </c:pt>
                <c:pt idx="13">
                  <c:v>1275</c:v>
                </c:pt>
                <c:pt idx="14">
                  <c:v>1350</c:v>
                </c:pt>
                <c:pt idx="15">
                  <c:v>1500</c:v>
                </c:pt>
              </c:numCache>
            </c:numRef>
          </c:xVal>
          <c:yVal>
            <c:numRef>
              <c:f>'Combinaciones de compra'!$G$6:$G$21</c:f>
              <c:numCache>
                <c:formatCode>General</c:formatCode>
                <c:ptCount val="16"/>
                <c:pt idx="0">
                  <c:v>300</c:v>
                </c:pt>
                <c:pt idx="1">
                  <c:v>225</c:v>
                </c:pt>
                <c:pt idx="2">
                  <c:v>210</c:v>
                </c:pt>
                <c:pt idx="3">
                  <c:v>195</c:v>
                </c:pt>
                <c:pt idx="4">
                  <c:v>180</c:v>
                </c:pt>
                <c:pt idx="5">
                  <c:v>165</c:v>
                </c:pt>
                <c:pt idx="6">
                  <c:v>150</c:v>
                </c:pt>
                <c:pt idx="7">
                  <c:v>135</c:v>
                </c:pt>
                <c:pt idx="8">
                  <c:v>120</c:v>
                </c:pt>
                <c:pt idx="9">
                  <c:v>105</c:v>
                </c:pt>
                <c:pt idx="10">
                  <c:v>90</c:v>
                </c:pt>
                <c:pt idx="11">
                  <c:v>75</c:v>
                </c:pt>
                <c:pt idx="12">
                  <c:v>60</c:v>
                </c:pt>
                <c:pt idx="13">
                  <c:v>45</c:v>
                </c:pt>
                <c:pt idx="14">
                  <c:v>30</c:v>
                </c:pt>
                <c:pt idx="15">
                  <c:v>0</c:v>
                </c:pt>
              </c:numCache>
            </c:numRef>
          </c:yVal>
          <c:smooth val="1"/>
        </c:ser>
        <c:axId val="77008165"/>
        <c:axId val="57310579"/>
      </c:scatterChart>
      <c:valAx>
        <c:axId val="77008165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92d050"/>
                </a:solidFill>
                <a:latin typeface="Aptos Narrow"/>
              </a:defRPr>
            </a:pPr>
          </a:p>
        </c:txPr>
        <c:crossAx val="57310579"/>
        <c:crosses val="autoZero"/>
        <c:crossBetween val="midCat"/>
      </c:valAx>
      <c:valAx>
        <c:axId val="5731057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7700816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solidFill>
          <a:srgbClr val="92d050"/>
        </a:solidFill>
        <a:ln w="0">
          <a:solidFill>
            <a:srgbClr val="92d050"/>
          </a:solidFill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Aptos Narrow"/>
              <a:ea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247680</xdr:colOff>
      <xdr:row>4</xdr:row>
      <xdr:rowOff>114480</xdr:rowOff>
    </xdr:from>
    <xdr:to>
      <xdr:col>18</xdr:col>
      <xdr:colOff>160560</xdr:colOff>
      <xdr:row>18</xdr:row>
      <xdr:rowOff>190440</xdr:rowOff>
    </xdr:to>
    <xdr:graphicFrame>
      <xdr:nvGraphicFramePr>
        <xdr:cNvPr id="0" name="Gráfico 5"/>
        <xdr:cNvGraphicFramePr/>
      </xdr:nvGraphicFramePr>
      <xdr:xfrm>
        <a:off x="787320" y="876600"/>
        <a:ext cx="908892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4:K1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K5" activeCellId="0" sqref="K5"/>
    </sheetView>
  </sheetViews>
  <sheetFormatPr defaultColWidth="8.50390625" defaultRowHeight="15" zeroHeight="false" outlineLevelRow="0" outlineLevelCol="0"/>
  <cols>
    <col collapsed="false" customWidth="true" hidden="false" outlineLevel="0" max="3" min="3" style="0" width="27.29"/>
    <col collapsed="false" customWidth="true" hidden="false" outlineLevel="0" max="4" min="4" style="0" width="7.71"/>
    <col collapsed="false" customWidth="true" hidden="false" outlineLevel="0" max="5" min="5" style="0" width="4.43"/>
    <col collapsed="false" customWidth="true" hidden="false" outlineLevel="0" max="7" min="7" style="0" width="30"/>
  </cols>
  <sheetData>
    <row r="4" customFormat="false" ht="15" hidden="false" customHeight="false" outlineLevel="0" collapsed="false">
      <c r="C4" s="0" t="s">
        <v>0</v>
      </c>
      <c r="D4" s="1" t="n">
        <v>100000</v>
      </c>
      <c r="E4" s="0" t="s">
        <v>1</v>
      </c>
      <c r="G4" s="0" t="s">
        <v>2</v>
      </c>
      <c r="H4" s="0" t="n">
        <v>50000</v>
      </c>
      <c r="J4" s="0" t="s">
        <v>3</v>
      </c>
      <c r="K4" s="0" t="n">
        <v>150000</v>
      </c>
    </row>
    <row r="6" customFormat="false" ht="15" hidden="false" customHeight="false" outlineLevel="0" collapsed="false">
      <c r="C6" s="2" t="s">
        <v>4</v>
      </c>
      <c r="D6" s="3" t="s">
        <v>5</v>
      </c>
      <c r="E6" s="1" t="n">
        <v>100</v>
      </c>
      <c r="F6" s="0" t="s">
        <v>6</v>
      </c>
      <c r="J6" s="0" t="s">
        <v>7</v>
      </c>
    </row>
    <row r="7" customFormat="false" ht="15" hidden="false" customHeight="false" outlineLevel="0" collapsed="false">
      <c r="C7" s="2"/>
      <c r="D7" s="3" t="s">
        <v>8</v>
      </c>
      <c r="E7" s="1" t="n">
        <v>500</v>
      </c>
      <c r="F7" s="0" t="s">
        <v>6</v>
      </c>
    </row>
    <row r="11" customFormat="false" ht="15" hidden="false" customHeight="false" outlineLevel="0" collapsed="false">
      <c r="C11" s="4" t="s">
        <v>9</v>
      </c>
    </row>
    <row r="12" customFormat="false" ht="130.5" hidden="false" customHeight="false" outlineLevel="0" collapsed="false">
      <c r="C12" s="5" t="s">
        <v>10</v>
      </c>
    </row>
  </sheetData>
  <mergeCells count="1">
    <mergeCell ref="C6:C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K27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I25" activeCellId="0" sqref="I25"/>
    </sheetView>
  </sheetViews>
  <sheetFormatPr defaultColWidth="8.50390625" defaultRowHeight="15" zeroHeight="false" outlineLevelRow="0" outlineLevelCol="0"/>
  <cols>
    <col collapsed="false" customWidth="true" hidden="false" outlineLevel="0" max="4" min="4" style="0" width="29.43"/>
    <col collapsed="false" customWidth="true" hidden="false" outlineLevel="0" max="5" min="5" style="0" width="29.86"/>
    <col collapsed="false" customWidth="true" hidden="false" outlineLevel="0" max="8" min="8" style="0" width="29.57"/>
    <col collapsed="false" customWidth="true" hidden="false" outlineLevel="0" max="9" min="9" style="0" width="30"/>
  </cols>
  <sheetData>
    <row r="4" customFormat="false" ht="15" hidden="false" customHeight="fals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  <c r="K4" s="6"/>
    </row>
    <row r="5" customFormat="false" ht="15" hidden="false" customHeight="false" outlineLevel="0" collapsed="false">
      <c r="A5" s="6"/>
      <c r="B5" s="7" t="str">
        <f aca="false">Datos!D6</f>
        <v>Bien P</v>
      </c>
      <c r="C5" s="8" t="str">
        <f aca="false">Datos!D7</f>
        <v>Bien H</v>
      </c>
      <c r="D5" s="7" t="str">
        <f aca="false">CONCATENATE('Hoja auxiliar'!F3,Datos!D6)</f>
        <v>Cosde de oportunidad del Bien P</v>
      </c>
      <c r="E5" s="8" t="str">
        <f aca="false">CONCATENATE('Hoja auxiliar'!F3,Datos!D7)</f>
        <v>Cosde de oportunidad del Bien H</v>
      </c>
      <c r="F5" s="9" t="s">
        <v>5</v>
      </c>
      <c r="G5" s="10" t="s">
        <v>8</v>
      </c>
      <c r="H5" s="7" t="str">
        <f aca="false">CONCATENATE('Hoja auxiliar'!F4,Datos!D6)</f>
        <v>Nuevo Coste Oportunidad Bien P</v>
      </c>
      <c r="I5" s="7" t="str">
        <f aca="false">CONCATENATE('Hoja auxiliar'!F4,Datos!D7)</f>
        <v>Nuevo Coste Oportunidad Bien H</v>
      </c>
      <c r="J5" s="6"/>
      <c r="K5" s="6"/>
    </row>
    <row r="6" customFormat="false" ht="13.8" hidden="false" customHeight="false" outlineLevel="0" collapsed="false">
      <c r="A6" s="6"/>
      <c r="B6" s="11" t="n">
        <v>0</v>
      </c>
      <c r="C6" s="12" t="n">
        <f aca="false">(Datos!$D$4-Datos!$E$6*B6)/Datos!$E$7</f>
        <v>200</v>
      </c>
      <c r="D6" s="13" t="s">
        <v>11</v>
      </c>
      <c r="E6" s="14" t="n">
        <f aca="false">B7-B6</f>
        <v>200</v>
      </c>
      <c r="F6" s="15" t="n">
        <v>0</v>
      </c>
      <c r="G6" s="14" t="n">
        <f aca="false">(Datos!$D$4+Datos!$H$4-Datos!$E$6*F6)/Datos!$E$7</f>
        <v>300</v>
      </c>
      <c r="H6" s="13" t="s">
        <v>12</v>
      </c>
      <c r="I6" s="15" t="n">
        <f aca="false">F7-F6</f>
        <v>375</v>
      </c>
      <c r="J6" s="6"/>
      <c r="K6" s="6"/>
    </row>
    <row r="7" customFormat="false" ht="13.8" hidden="false" customHeight="false" outlineLevel="0" collapsed="false">
      <c r="A7" s="6"/>
      <c r="B7" s="15" t="n">
        <f aca="false">'Hoja auxiliar'!D1*$B$21</f>
        <v>200</v>
      </c>
      <c r="C7" s="12" t="n">
        <f aca="false">(Datos!$D$4-Datos!$E$6*B7)/Datos!$E$7</f>
        <v>160</v>
      </c>
      <c r="D7" s="15" t="n">
        <f aca="false">C6-C7</f>
        <v>40</v>
      </c>
      <c r="E7" s="14" t="n">
        <f aca="false">B8-B7</f>
        <v>50</v>
      </c>
      <c r="F7" s="15" t="n">
        <f aca="false">$F$21*'Hoja auxiliar'!D2</f>
        <v>375</v>
      </c>
      <c r="G7" s="14" t="n">
        <f aca="false">(Datos!$D$4+Datos!$H$4-Datos!$E$6*F7)/Datos!$E$7</f>
        <v>225</v>
      </c>
      <c r="H7" s="15" t="n">
        <f aca="false">G6-G7</f>
        <v>75</v>
      </c>
      <c r="I7" s="15" t="n">
        <f aca="false">F8-F7</f>
        <v>75</v>
      </c>
      <c r="J7" s="6"/>
      <c r="K7" s="6"/>
    </row>
    <row r="8" customFormat="false" ht="13.8" hidden="false" customHeight="false" outlineLevel="0" collapsed="false">
      <c r="A8" s="6"/>
      <c r="B8" s="15" t="n">
        <f aca="false">'Hoja auxiliar'!D2*$B$21</f>
        <v>250</v>
      </c>
      <c r="C8" s="12" t="n">
        <f aca="false">(Datos!$D$4-Datos!$E$6*B8)/Datos!$E$7</f>
        <v>150</v>
      </c>
      <c r="D8" s="15" t="n">
        <f aca="false">C7-C8</f>
        <v>10</v>
      </c>
      <c r="E8" s="14" t="n">
        <f aca="false">B9-B8</f>
        <v>50</v>
      </c>
      <c r="F8" s="15" t="n">
        <f aca="false">$F$21*'Hoja auxiliar'!D3</f>
        <v>450</v>
      </c>
      <c r="G8" s="14" t="n">
        <f aca="false">(Datos!$D$4+Datos!$H$4-Datos!$E$6*F8)/Datos!$E$7</f>
        <v>210</v>
      </c>
      <c r="H8" s="15" t="n">
        <f aca="false">G7-G8</f>
        <v>15</v>
      </c>
      <c r="I8" s="15" t="n">
        <f aca="false">F9-F8</f>
        <v>75</v>
      </c>
      <c r="J8" s="6"/>
      <c r="K8" s="6"/>
    </row>
    <row r="9" customFormat="false" ht="13.8" hidden="false" customHeight="false" outlineLevel="0" collapsed="false">
      <c r="A9" s="6"/>
      <c r="B9" s="15" t="n">
        <f aca="false">'Hoja auxiliar'!D3*$B$21</f>
        <v>300</v>
      </c>
      <c r="C9" s="12" t="n">
        <f aca="false">(Datos!$D$4-Datos!$E$6*B9)/Datos!$E$7</f>
        <v>140</v>
      </c>
      <c r="D9" s="15" t="n">
        <f aca="false">C8-C9</f>
        <v>10</v>
      </c>
      <c r="E9" s="14" t="n">
        <f aca="false">B10-B9</f>
        <v>50</v>
      </c>
      <c r="F9" s="15" t="n">
        <f aca="false">$F$21*'Hoja auxiliar'!D4</f>
        <v>525</v>
      </c>
      <c r="G9" s="14" t="n">
        <f aca="false">(Datos!$D$4+Datos!$H$4-Datos!$E$6*F9)/Datos!$E$7</f>
        <v>195</v>
      </c>
      <c r="H9" s="15" t="n">
        <f aca="false">G8-G9</f>
        <v>15</v>
      </c>
      <c r="I9" s="15" t="n">
        <f aca="false">F10-F9</f>
        <v>75</v>
      </c>
      <c r="J9" s="6"/>
      <c r="K9" s="6"/>
    </row>
    <row r="10" customFormat="false" ht="13.8" hidden="false" customHeight="false" outlineLevel="0" collapsed="false">
      <c r="A10" s="6"/>
      <c r="B10" s="15" t="n">
        <f aca="false">'Hoja auxiliar'!D4*$B$21</f>
        <v>350</v>
      </c>
      <c r="C10" s="12" t="n">
        <f aca="false">(Datos!$D$4-Datos!$E$6*B10)/Datos!$E$7</f>
        <v>130</v>
      </c>
      <c r="D10" s="15" t="n">
        <f aca="false">C9-C10</f>
        <v>10</v>
      </c>
      <c r="E10" s="14" t="n">
        <f aca="false">B11-B10</f>
        <v>50</v>
      </c>
      <c r="F10" s="15" t="n">
        <f aca="false">$F$21*'Hoja auxiliar'!D5</f>
        <v>600</v>
      </c>
      <c r="G10" s="14" t="n">
        <f aca="false">(Datos!$D$4+Datos!$H$4-Datos!$E$6*F10)/Datos!$E$7</f>
        <v>180</v>
      </c>
      <c r="H10" s="15" t="n">
        <f aca="false">G9-G10</f>
        <v>15</v>
      </c>
      <c r="I10" s="15" t="n">
        <f aca="false">F11-F10</f>
        <v>75</v>
      </c>
      <c r="J10" s="6"/>
      <c r="K10" s="6"/>
    </row>
    <row r="11" customFormat="false" ht="13.8" hidden="false" customHeight="false" outlineLevel="0" collapsed="false">
      <c r="A11" s="6"/>
      <c r="B11" s="15" t="n">
        <f aca="false">'Hoja auxiliar'!D5*$B$21</f>
        <v>400</v>
      </c>
      <c r="C11" s="12" t="n">
        <f aca="false">(Datos!$D$4-Datos!$E$6*B11)/Datos!$E$7</f>
        <v>120</v>
      </c>
      <c r="D11" s="15" t="n">
        <f aca="false">C10-C11</f>
        <v>10</v>
      </c>
      <c r="E11" s="14" t="n">
        <f aca="false">B12-B11</f>
        <v>50</v>
      </c>
      <c r="F11" s="15" t="n">
        <f aca="false">$F$21*'Hoja auxiliar'!D6</f>
        <v>675</v>
      </c>
      <c r="G11" s="14" t="n">
        <f aca="false">(Datos!$D$4+Datos!$H$4-Datos!$E$6*F11)/Datos!$E$7</f>
        <v>165</v>
      </c>
      <c r="H11" s="15" t="n">
        <f aca="false">G10-G11</f>
        <v>15</v>
      </c>
      <c r="I11" s="15" t="n">
        <f aca="false">F12-F11</f>
        <v>75</v>
      </c>
      <c r="J11" s="6"/>
      <c r="K11" s="6"/>
    </row>
    <row r="12" customFormat="false" ht="13.8" hidden="false" customHeight="false" outlineLevel="0" collapsed="false">
      <c r="A12" s="6"/>
      <c r="B12" s="15" t="n">
        <f aca="false">'Hoja auxiliar'!D6*$B$21</f>
        <v>450</v>
      </c>
      <c r="C12" s="12" t="n">
        <f aca="false">(Datos!$D$4-Datos!$E$6*B12)/Datos!$E$7</f>
        <v>110</v>
      </c>
      <c r="D12" s="15" t="n">
        <f aca="false">C11-C12</f>
        <v>10</v>
      </c>
      <c r="E12" s="14" t="n">
        <f aca="false">B13-B12</f>
        <v>50</v>
      </c>
      <c r="F12" s="15" t="n">
        <f aca="false">$F$21*'Hoja auxiliar'!D7</f>
        <v>750</v>
      </c>
      <c r="G12" s="14" t="n">
        <f aca="false">(Datos!$D$4+Datos!$H$4-Datos!$E$6*F12)/Datos!$E$7</f>
        <v>150</v>
      </c>
      <c r="H12" s="15" t="n">
        <f aca="false">G11-G12</f>
        <v>15</v>
      </c>
      <c r="I12" s="15" t="n">
        <f aca="false">F13-F12</f>
        <v>75.0000000000001</v>
      </c>
      <c r="J12" s="6"/>
      <c r="K12" s="6"/>
    </row>
    <row r="13" customFormat="false" ht="13.8" hidden="false" customHeight="false" outlineLevel="0" collapsed="false">
      <c r="A13" s="6"/>
      <c r="B13" s="15" t="n">
        <f aca="false">'Hoja auxiliar'!D7*$B$21</f>
        <v>500</v>
      </c>
      <c r="C13" s="12" t="n">
        <f aca="false">(Datos!$D$4-Datos!$E$6*B13)/Datos!$E$7</f>
        <v>100</v>
      </c>
      <c r="D13" s="15" t="n">
        <f aca="false">C12-C13</f>
        <v>10</v>
      </c>
      <c r="E13" s="14" t="n">
        <f aca="false">B14-B13</f>
        <v>50</v>
      </c>
      <c r="F13" s="15" t="n">
        <f aca="false">$F$21*'Hoja auxiliar'!D8</f>
        <v>825</v>
      </c>
      <c r="G13" s="14" t="n">
        <f aca="false">(Datos!$D$4+Datos!$H$4-Datos!$E$6*F13)/Datos!$E$7</f>
        <v>135</v>
      </c>
      <c r="H13" s="15" t="n">
        <f aca="false">G12-G13</f>
        <v>15</v>
      </c>
      <c r="I13" s="15" t="n">
        <f aca="false">F14-F13</f>
        <v>74.9999999999999</v>
      </c>
      <c r="J13" s="6"/>
      <c r="K13" s="6"/>
    </row>
    <row r="14" customFormat="false" ht="13.8" hidden="false" customHeight="false" outlineLevel="0" collapsed="false">
      <c r="A14" s="6"/>
      <c r="B14" s="15" t="n">
        <f aca="false">'Hoja auxiliar'!D8*$B$21</f>
        <v>550</v>
      </c>
      <c r="C14" s="12" t="n">
        <f aca="false">(Datos!$D$4-Datos!$E$6*B14)/Datos!$E$7</f>
        <v>90</v>
      </c>
      <c r="D14" s="15" t="n">
        <f aca="false">C13-C14</f>
        <v>10</v>
      </c>
      <c r="E14" s="14" t="n">
        <f aca="false">B15-B14</f>
        <v>50</v>
      </c>
      <c r="F14" s="15" t="n">
        <f aca="false">$F$21*'Hoja auxiliar'!D9</f>
        <v>900</v>
      </c>
      <c r="G14" s="14" t="n">
        <f aca="false">(Datos!$D$4+Datos!$H$4-Datos!$E$6*F14)/Datos!$E$7</f>
        <v>120</v>
      </c>
      <c r="H14" s="15" t="n">
        <f aca="false">G13-G14</f>
        <v>15</v>
      </c>
      <c r="I14" s="15" t="n">
        <f aca="false">F15-F14</f>
        <v>75</v>
      </c>
      <c r="J14" s="6"/>
      <c r="K14" s="6"/>
    </row>
    <row r="15" customFormat="false" ht="13.8" hidden="false" customHeight="false" outlineLevel="0" collapsed="false">
      <c r="A15" s="6"/>
      <c r="B15" s="15" t="n">
        <f aca="false">'Hoja auxiliar'!D9*$B$21</f>
        <v>600</v>
      </c>
      <c r="C15" s="12" t="n">
        <f aca="false">(Datos!$D$4-Datos!$E$6*B15)/Datos!$E$7</f>
        <v>80</v>
      </c>
      <c r="D15" s="15" t="n">
        <f aca="false">C14-C15</f>
        <v>10</v>
      </c>
      <c r="E15" s="14" t="n">
        <f aca="false">B16-B15</f>
        <v>50</v>
      </c>
      <c r="F15" s="15" t="n">
        <f aca="false">$F$21*'Hoja auxiliar'!D10</f>
        <v>975</v>
      </c>
      <c r="G15" s="14" t="n">
        <f aca="false">(Datos!$D$4+Datos!$H$4-Datos!$E$6*F15)/Datos!$E$7</f>
        <v>105</v>
      </c>
      <c r="H15" s="15" t="n">
        <f aca="false">G14-G15</f>
        <v>15</v>
      </c>
      <c r="I15" s="15" t="n">
        <f aca="false">F16-F15</f>
        <v>75</v>
      </c>
      <c r="J15" s="6"/>
      <c r="K15" s="6"/>
    </row>
    <row r="16" customFormat="false" ht="13.8" hidden="false" customHeight="false" outlineLevel="0" collapsed="false">
      <c r="A16" s="6"/>
      <c r="B16" s="15" t="n">
        <f aca="false">'Hoja auxiliar'!D10*$B$21</f>
        <v>650</v>
      </c>
      <c r="C16" s="12" t="n">
        <f aca="false">(Datos!$D$4-Datos!$E$6*B16)/Datos!$E$7</f>
        <v>70</v>
      </c>
      <c r="D16" s="15" t="n">
        <f aca="false">C15-C16</f>
        <v>10</v>
      </c>
      <c r="E16" s="14" t="n">
        <f aca="false">B17-B16</f>
        <v>50</v>
      </c>
      <c r="F16" s="15" t="n">
        <f aca="false">$F$21*'Hoja auxiliar'!D11</f>
        <v>1050</v>
      </c>
      <c r="G16" s="14" t="n">
        <f aca="false">(Datos!$D$4+Datos!$H$4-Datos!$E$6*F16)/Datos!$E$7</f>
        <v>90</v>
      </c>
      <c r="H16" s="15" t="n">
        <f aca="false">G15-G16</f>
        <v>15</v>
      </c>
      <c r="I16" s="15" t="n">
        <f aca="false">F17-F16</f>
        <v>75</v>
      </c>
      <c r="J16" s="6"/>
      <c r="K16" s="6"/>
    </row>
    <row r="17" customFormat="false" ht="13.8" hidden="false" customHeight="false" outlineLevel="0" collapsed="false">
      <c r="A17" s="6"/>
      <c r="B17" s="15" t="n">
        <f aca="false">'Hoja auxiliar'!D11*$B$21</f>
        <v>700</v>
      </c>
      <c r="C17" s="12" t="n">
        <f aca="false">(Datos!$D$4-Datos!$E$6*B17)/Datos!$E$7</f>
        <v>60</v>
      </c>
      <c r="D17" s="15" t="n">
        <f aca="false">C16-C17</f>
        <v>10</v>
      </c>
      <c r="E17" s="14" t="n">
        <f aca="false">B18-B17</f>
        <v>50</v>
      </c>
      <c r="F17" s="15" t="n">
        <f aca="false">$F$21*'Hoja auxiliar'!D12</f>
        <v>1125</v>
      </c>
      <c r="G17" s="14" t="n">
        <f aca="false">(Datos!$D$4+Datos!$H$4-Datos!$E$6*F17)/Datos!$E$7</f>
        <v>75</v>
      </c>
      <c r="H17" s="15" t="n">
        <f aca="false">G16-G17</f>
        <v>15</v>
      </c>
      <c r="I17" s="15" t="n">
        <f aca="false">F18-F17</f>
        <v>75</v>
      </c>
      <c r="J17" s="6"/>
      <c r="K17" s="6"/>
    </row>
    <row r="18" customFormat="false" ht="13.8" hidden="false" customHeight="false" outlineLevel="0" collapsed="false">
      <c r="A18" s="6"/>
      <c r="B18" s="15" t="n">
        <f aca="false">'Hoja auxiliar'!D12*$B$21</f>
        <v>750</v>
      </c>
      <c r="C18" s="12" t="n">
        <f aca="false">(Datos!$D$4-Datos!$E$6*B18)/Datos!$E$7</f>
        <v>50</v>
      </c>
      <c r="D18" s="15" t="n">
        <f aca="false">C17-C18</f>
        <v>10</v>
      </c>
      <c r="E18" s="14" t="n">
        <f aca="false">B19-B18</f>
        <v>50</v>
      </c>
      <c r="F18" s="15" t="n">
        <f aca="false">$F$21*'Hoja auxiliar'!D13</f>
        <v>1200</v>
      </c>
      <c r="G18" s="14" t="n">
        <f aca="false">(Datos!$D$4+Datos!$H$4-Datos!$E$6*F18)/Datos!$E$7</f>
        <v>60</v>
      </c>
      <c r="H18" s="15" t="n">
        <f aca="false">G17-G18</f>
        <v>15</v>
      </c>
      <c r="I18" s="15" t="n">
        <f aca="false">F19-F18</f>
        <v>75</v>
      </c>
      <c r="J18" s="6"/>
      <c r="K18" s="6"/>
    </row>
    <row r="19" customFormat="false" ht="13.8" hidden="false" customHeight="false" outlineLevel="0" collapsed="false">
      <c r="A19" s="6"/>
      <c r="B19" s="15" t="n">
        <f aca="false">'Hoja auxiliar'!D13*$B$21</f>
        <v>800</v>
      </c>
      <c r="C19" s="12" t="n">
        <f aca="false">(Datos!$D$4-Datos!$E$6*B19)/Datos!$E$7</f>
        <v>40</v>
      </c>
      <c r="D19" s="15" t="n">
        <f aca="false">C18-C19</f>
        <v>10</v>
      </c>
      <c r="E19" s="14" t="n">
        <f aca="false">B20-B19</f>
        <v>50</v>
      </c>
      <c r="F19" s="15" t="n">
        <f aca="false">$F$21*'Hoja auxiliar'!D14</f>
        <v>1275</v>
      </c>
      <c r="G19" s="14" t="n">
        <f aca="false">(Datos!$D$4+Datos!$H$4-Datos!$E$6*F19)/Datos!$E$7</f>
        <v>45</v>
      </c>
      <c r="H19" s="15" t="n">
        <f aca="false">G18-G19</f>
        <v>15</v>
      </c>
      <c r="I19" s="15" t="n">
        <f aca="false">F20-F19</f>
        <v>75</v>
      </c>
      <c r="J19" s="6"/>
      <c r="K19" s="6"/>
    </row>
    <row r="20" customFormat="false" ht="13.8" hidden="false" customHeight="false" outlineLevel="0" collapsed="false">
      <c r="A20" s="6"/>
      <c r="B20" s="16" t="n">
        <f aca="false">'Hoja auxiliar'!D14*$B$21</f>
        <v>850</v>
      </c>
      <c r="C20" s="17" t="n">
        <f aca="false">(Datos!$D$4-Datos!$E$6*B20)/Datos!$E$7</f>
        <v>30</v>
      </c>
      <c r="D20" s="15" t="n">
        <f aca="false">C19-C20</f>
        <v>10</v>
      </c>
      <c r="E20" s="14" t="n">
        <f aca="false">B21-B20</f>
        <v>150</v>
      </c>
      <c r="F20" s="15" t="n">
        <f aca="false">$F$21*'Hoja auxiliar'!D15</f>
        <v>1350</v>
      </c>
      <c r="G20" s="14" t="n">
        <f aca="false">(Datos!$D$4+Datos!$H$4-Datos!$E$6*F20)/Datos!$E$7</f>
        <v>30</v>
      </c>
      <c r="H20" s="15" t="n">
        <f aca="false">G19-G20</f>
        <v>15</v>
      </c>
      <c r="I20" s="15" t="n">
        <f aca="false">F21-F20</f>
        <v>150</v>
      </c>
      <c r="J20" s="6"/>
      <c r="K20" s="6"/>
    </row>
    <row r="21" customFormat="false" ht="13.8" hidden="false" customHeight="false" outlineLevel="0" collapsed="false">
      <c r="A21" s="6"/>
      <c r="B21" s="14" t="n">
        <f aca="false">(Datos!$D$4-C21*Datos!$E$7)/Datos!$E$6</f>
        <v>1000</v>
      </c>
      <c r="C21" s="12" t="n">
        <v>0</v>
      </c>
      <c r="D21" s="15" t="n">
        <f aca="false">C20-C21</f>
        <v>30</v>
      </c>
      <c r="E21" s="18" t="s">
        <v>11</v>
      </c>
      <c r="F21" s="14" t="n">
        <f aca="false">(Datos!$D$4+Datos!H4-G21*Datos!$E$7)/Datos!$E$6</f>
        <v>1500</v>
      </c>
      <c r="G21" s="14" t="n">
        <v>0</v>
      </c>
      <c r="H21" s="15" t="n">
        <f aca="false">G20-G21</f>
        <v>30</v>
      </c>
      <c r="I21" s="13" t="s">
        <v>13</v>
      </c>
      <c r="J21" s="6"/>
      <c r="K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</row>
    <row r="23" customFormat="false" ht="15" hidden="false" customHeight="false" outlineLevel="0" collapsed="false">
      <c r="E23" s="0" t="s">
        <v>5</v>
      </c>
      <c r="F23" s="0" t="s">
        <v>8</v>
      </c>
    </row>
    <row r="24" customFormat="false" ht="13.8" hidden="false" customHeight="false" outlineLevel="0" collapsed="false">
      <c r="D24" s="0" t="s">
        <v>14</v>
      </c>
      <c r="E24" s="0" t="n">
        <v>200</v>
      </c>
      <c r="F24" s="0" t="n">
        <v>160</v>
      </c>
      <c r="G24" s="0" t="str">
        <f aca="false">IF('Hoja auxiliar'!J5=Datos!D4,'Combinaciones de compra'!H26,IF('Hoja auxiliar'!J5&lt;Datos!D4,'Combinaciones de compra'!H27,'Combinaciones de compra'!H25))</f>
        <v>Posible y Eficiente</v>
      </c>
      <c r="H24" s="0" t="s">
        <v>15</v>
      </c>
      <c r="I24" s="0" t="s">
        <v>16</v>
      </c>
      <c r="J24" s="19" t="str">
        <f aca="false">IF('Hoja auxiliar'!J5&lt;Datos!K4,H27,IF('Hoja auxiliar'!J5&gt;Datos!K4,H25,H26))</f>
        <v>Posible e Ineficiente</v>
      </c>
    </row>
    <row r="25" customFormat="false" ht="13.8" hidden="false" customHeight="false" outlineLevel="0" collapsed="false">
      <c r="H25" s="0" t="s">
        <v>17</v>
      </c>
      <c r="I25" s="19"/>
    </row>
    <row r="26" customFormat="false" ht="13.8" hidden="false" customHeight="false" outlineLevel="0" collapsed="false">
      <c r="H26" s="0" t="s">
        <v>18</v>
      </c>
      <c r="I26" s="19"/>
    </row>
    <row r="27" customFormat="false" ht="13.8" hidden="false" customHeight="false" outlineLevel="0" collapsed="false">
      <c r="H27" s="0" t="s">
        <v>19</v>
      </c>
      <c r="I27" s="1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K7" activeCellId="0" sqref="K7"/>
    </sheetView>
  </sheetViews>
  <sheetFormatPr defaultColWidth="8.503906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N24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J14" activeCellId="0" sqref="J14"/>
    </sheetView>
  </sheetViews>
  <sheetFormatPr defaultColWidth="8.50390625" defaultRowHeight="15" zeroHeight="false" outlineLevelRow="0" outlineLevelCol="0"/>
  <cols>
    <col collapsed="false" customWidth="true" hidden="false" outlineLevel="0" max="6" min="6" style="0" width="23.04"/>
    <col collapsed="false" customWidth="true" hidden="false" outlineLevel="0" max="7" min="7" style="0" width="19.3"/>
  </cols>
  <sheetData>
    <row r="1" customFormat="false" ht="13.8" hidden="false" customHeight="false" outlineLevel="0" collapsed="false">
      <c r="D1" s="20" t="n">
        <v>0.2</v>
      </c>
    </row>
    <row r="2" customFormat="false" ht="13.8" hidden="false" customHeight="false" outlineLevel="0" collapsed="false">
      <c r="D2" s="20" t="n">
        <v>0.25</v>
      </c>
    </row>
    <row r="3" customFormat="false" ht="13.8" hidden="false" customHeight="false" outlineLevel="0" collapsed="false">
      <c r="D3" s="20" t="n">
        <v>0.3</v>
      </c>
      <c r="F3" s="0" t="s">
        <v>20</v>
      </c>
    </row>
    <row r="4" customFormat="false" ht="13.8" hidden="false" customHeight="false" outlineLevel="0" collapsed="false">
      <c r="D4" s="20" t="n">
        <v>0.35</v>
      </c>
      <c r="F4" s="0" t="s">
        <v>21</v>
      </c>
    </row>
    <row r="5" customFormat="false" ht="13.8" hidden="false" customHeight="false" outlineLevel="0" collapsed="false">
      <c r="D5" s="20" t="n">
        <v>0.4</v>
      </c>
      <c r="F5" s="0" t="s">
        <v>22</v>
      </c>
      <c r="J5" s="0" t="n">
        <f aca="false">'Combinaciones de compra'!E24*Datos!E6+'Combinaciones de compra'!F24*Datos!E7</f>
        <v>100000</v>
      </c>
    </row>
    <row r="6" customFormat="false" ht="13.8" hidden="false" customHeight="false" outlineLevel="0" collapsed="false">
      <c r="D6" s="20" t="n">
        <v>0.45</v>
      </c>
    </row>
    <row r="7" customFormat="false" ht="13.8" hidden="false" customHeight="false" outlineLevel="0" collapsed="false">
      <c r="D7" s="20" t="n">
        <v>0.5</v>
      </c>
      <c r="L7" s="0" t="s">
        <v>23</v>
      </c>
      <c r="N7" s="0" t="s">
        <v>24</v>
      </c>
    </row>
    <row r="8" customFormat="false" ht="13.8" hidden="false" customHeight="false" outlineLevel="0" collapsed="false">
      <c r="D8" s="20" t="n">
        <v>0.55</v>
      </c>
      <c r="L8" s="0" t="s">
        <v>25</v>
      </c>
    </row>
    <row r="9" customFormat="false" ht="13.8" hidden="false" customHeight="false" outlineLevel="0" collapsed="false">
      <c r="D9" s="20" t="n">
        <v>0.6</v>
      </c>
      <c r="L9" s="0" t="s">
        <v>26</v>
      </c>
    </row>
    <row r="10" customFormat="false" ht="13.8" hidden="false" customHeight="false" outlineLevel="0" collapsed="false">
      <c r="D10" s="20" t="n">
        <v>0.65</v>
      </c>
      <c r="L10" s="0" t="s">
        <v>27</v>
      </c>
    </row>
    <row r="11" customFormat="false" ht="13.8" hidden="false" customHeight="false" outlineLevel="0" collapsed="false">
      <c r="D11" s="20" t="n">
        <v>0.7</v>
      </c>
      <c r="L11" s="0" t="s">
        <v>28</v>
      </c>
    </row>
    <row r="12" customFormat="false" ht="13.8" hidden="false" customHeight="false" outlineLevel="0" collapsed="false">
      <c r="D12" s="20" t="n">
        <v>0.75</v>
      </c>
    </row>
    <row r="13" customFormat="false" ht="13.8" hidden="false" customHeight="false" outlineLevel="0" collapsed="false">
      <c r="D13" s="20" t="n">
        <v>0.8</v>
      </c>
      <c r="J13" s="0" t="str">
        <f aca="false">CONCATENATE(L7," ",L8," ",'Combinaciones de compra'!E24," ",L9," ",Datos!D6," ",L10," ",L8," ",'Combinaciones de compra'!F24," ",'Hoja auxiliar'!L9," ",Datos!D7," ",L11," ",'Combinaciones de compra'!G24," ",'Combinaciones de compra'!H24," ","y/e"," ",'Combinaciones de compra'!J24," ",N7," ",'Combinaciones de compra'!I24)</f>
        <v>La combinacion de 200 del Bien P y de 160 del Bien H es Posible y Eficiente FP Vieja y/e Posible e Ineficiente para FP Nueva</v>
      </c>
    </row>
    <row r="14" customFormat="false" ht="13.8" hidden="false" customHeight="false" outlineLevel="0" collapsed="false">
      <c r="D14" s="20" t="n">
        <v>0.85</v>
      </c>
    </row>
    <row r="15" customFormat="false" ht="13.8" hidden="false" customHeight="false" outlineLevel="0" collapsed="false">
      <c r="D15" s="20" t="n">
        <v>0.9</v>
      </c>
    </row>
    <row r="19" customFormat="false" ht="15" hidden="false" customHeight="false" outlineLevel="0" collapsed="false">
      <c r="N19" s="21"/>
    </row>
    <row r="20" customFormat="false" ht="15" hidden="false" customHeight="false" outlineLevel="0" collapsed="false">
      <c r="N20" s="21"/>
    </row>
    <row r="21" customFormat="false" ht="15" hidden="false" customHeight="false" outlineLevel="0" collapsed="false">
      <c r="N21" s="21"/>
    </row>
    <row r="22" customFormat="false" ht="15" hidden="false" customHeight="false" outlineLevel="0" collapsed="false">
      <c r="N22" s="21"/>
    </row>
    <row r="23" customFormat="false" ht="15" hidden="false" customHeight="false" outlineLevel="0" collapsed="false">
      <c r="N23" s="21"/>
    </row>
    <row r="24" customFormat="false" ht="15" hidden="false" customHeight="false" outlineLevel="0" collapsed="false">
      <c r="N24" s="2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2024-09-25T09:11:21Z</dcterms:created>
  <dc:creator/>
  <dc:description/>
  <dc:language>en-GB</dc:language>
  <cp:lastModifiedBy/>
  <dcterms:modified xsi:type="dcterms:W3CDTF">2024-10-02T13:19:05Z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